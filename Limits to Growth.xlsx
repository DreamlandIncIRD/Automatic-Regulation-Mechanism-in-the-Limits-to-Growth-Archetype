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" yWindow="72" windowWidth="14808" windowHeight="8016" tabRatio="770"/>
  </bookViews>
  <sheets>
    <sheet name="Model_1" sheetId="2" r:id="rId1"/>
    <sheet name="Model_2" sheetId="3" r:id="rId2"/>
    <sheet name="Model_3" sheetId="4" r:id="rId3"/>
    <sheet name="Model_4" sheetId="5" r:id="rId4"/>
    <sheet name="Contrast" sheetId="6" r:id="rId5"/>
  </sheets>
  <calcPr calcId="144525"/>
</workbook>
</file>

<file path=xl/calcChain.xml><?xml version="1.0" encoding="utf-8"?>
<calcChain xmlns="http://schemas.openxmlformats.org/spreadsheetml/2006/main">
  <c r="G3" i="5" l="1"/>
  <c r="G7" i="4"/>
  <c r="M3" i="3"/>
  <c r="L3" i="3"/>
  <c r="K4" i="5"/>
  <c r="K3" i="5"/>
  <c r="K4" i="4"/>
  <c r="K3" i="4"/>
  <c r="K4" i="2"/>
  <c r="K3" i="2"/>
  <c r="K4" i="3"/>
  <c r="K3" i="3"/>
  <c r="H3" i="3"/>
  <c r="N3" i="3"/>
  <c r="G3" i="3" l="1"/>
  <c r="I3" i="3"/>
  <c r="B12" i="4" l="1"/>
  <c r="J3" i="2"/>
  <c r="L3" i="2" s="1"/>
  <c r="M3" i="2" s="1"/>
  <c r="N3" i="2" s="1"/>
  <c r="I3" i="2" s="1"/>
  <c r="AF2" i="6"/>
  <c r="AE2" i="6"/>
  <c r="AB2" i="6"/>
  <c r="AA2" i="6"/>
  <c r="X2" i="6"/>
  <c r="W2" i="6"/>
  <c r="T3" i="6"/>
  <c r="T2" i="6"/>
  <c r="S3" i="6"/>
  <c r="S2" i="6"/>
  <c r="P2" i="6"/>
  <c r="O2" i="6"/>
  <c r="L2" i="6"/>
  <c r="K2" i="6"/>
  <c r="H3" i="6"/>
  <c r="H2" i="6"/>
  <c r="G3" i="6"/>
  <c r="G2" i="6"/>
  <c r="D3" i="6"/>
  <c r="D4" i="6"/>
  <c r="D5" i="6"/>
  <c r="D2" i="6"/>
  <c r="C2" i="6"/>
  <c r="B12" i="5"/>
  <c r="B3" i="5"/>
  <c r="B4" i="5"/>
  <c r="B5" i="5"/>
  <c r="B6" i="5"/>
  <c r="B7" i="5"/>
  <c r="B8" i="5"/>
  <c r="B9" i="5"/>
  <c r="B10" i="5"/>
  <c r="B11" i="5"/>
  <c r="B2" i="5"/>
  <c r="F201" i="5" s="1"/>
  <c r="B3" i="3"/>
  <c r="B4" i="3"/>
  <c r="B5" i="3"/>
  <c r="B6" i="3"/>
  <c r="B7" i="3"/>
  <c r="B8" i="3"/>
  <c r="B9" i="3"/>
  <c r="B10" i="3"/>
  <c r="B11" i="3"/>
  <c r="B2" i="3"/>
  <c r="B2" i="4"/>
  <c r="B3" i="4"/>
  <c r="B4" i="4"/>
  <c r="B5" i="4"/>
  <c r="B6" i="4"/>
  <c r="B7" i="4"/>
  <c r="B8" i="4"/>
  <c r="B9" i="4"/>
  <c r="B10" i="4"/>
  <c r="B11" i="4"/>
  <c r="B9" i="2"/>
  <c r="B7" i="2"/>
  <c r="B11" i="2" s="1"/>
  <c r="AC2" i="6"/>
  <c r="Y2" i="6"/>
  <c r="U2" i="6"/>
  <c r="M2" i="6"/>
  <c r="E2" i="6"/>
  <c r="Z2" i="6"/>
  <c r="V2" i="6"/>
  <c r="R2" i="6"/>
  <c r="J2" i="6"/>
  <c r="N2" i="5"/>
  <c r="AG2" i="6" s="1"/>
  <c r="F202" i="5"/>
  <c r="J202" i="5" s="1"/>
  <c r="Q202" i="6" s="1"/>
  <c r="F199" i="5"/>
  <c r="F195" i="5"/>
  <c r="F191" i="5"/>
  <c r="F187" i="5"/>
  <c r="F183" i="5"/>
  <c r="F179" i="5"/>
  <c r="F175" i="5"/>
  <c r="F171" i="5"/>
  <c r="F167" i="5"/>
  <c r="F163" i="5"/>
  <c r="F159" i="5"/>
  <c r="F155" i="5"/>
  <c r="F151" i="5"/>
  <c r="F147" i="5"/>
  <c r="F143" i="5"/>
  <c r="F139" i="5"/>
  <c r="F135" i="5"/>
  <c r="F131" i="5"/>
  <c r="F127" i="5"/>
  <c r="F123" i="5"/>
  <c r="F119" i="5"/>
  <c r="F115" i="5"/>
  <c r="F111" i="5"/>
  <c r="F109" i="5"/>
  <c r="F107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M2" i="5"/>
  <c r="H2" i="5"/>
  <c r="F2" i="5"/>
  <c r="F113" i="5" l="1"/>
  <c r="F117" i="5"/>
  <c r="F121" i="5"/>
  <c r="F125" i="5"/>
  <c r="F129" i="5"/>
  <c r="F133" i="5"/>
  <c r="F137" i="5"/>
  <c r="F141" i="5"/>
  <c r="F145" i="5"/>
  <c r="F149" i="5"/>
  <c r="F153" i="5"/>
  <c r="F157" i="5"/>
  <c r="F161" i="5"/>
  <c r="F165" i="5"/>
  <c r="F169" i="5"/>
  <c r="F173" i="5"/>
  <c r="F177" i="5"/>
  <c r="F181" i="5"/>
  <c r="F185" i="5"/>
  <c r="F189" i="5"/>
  <c r="F193" i="5"/>
  <c r="F197" i="5"/>
  <c r="H3" i="5"/>
  <c r="I3" i="6" s="1"/>
  <c r="I2" i="6"/>
  <c r="J3" i="5"/>
  <c r="Q3" i="6" s="1"/>
  <c r="J5" i="5"/>
  <c r="Q5" i="6" s="1"/>
  <c r="J7" i="5"/>
  <c r="Q7" i="6" s="1"/>
  <c r="J9" i="5"/>
  <c r="Q9" i="6" s="1"/>
  <c r="J11" i="5"/>
  <c r="Q11" i="6" s="1"/>
  <c r="J14" i="5"/>
  <c r="Q14" i="6" s="1"/>
  <c r="J18" i="5"/>
  <c r="Q18" i="6" s="1"/>
  <c r="J22" i="5"/>
  <c r="Q22" i="6" s="1"/>
  <c r="J25" i="5"/>
  <c r="Q25" i="6" s="1"/>
  <c r="J27" i="5"/>
  <c r="Q27" i="6" s="1"/>
  <c r="J29" i="5"/>
  <c r="Q29" i="6" s="1"/>
  <c r="J31" i="5"/>
  <c r="Q31" i="6" s="1"/>
  <c r="J33" i="5"/>
  <c r="Q33" i="6" s="1"/>
  <c r="J35" i="5"/>
  <c r="Q35" i="6" s="1"/>
  <c r="J37" i="5"/>
  <c r="Q37" i="6" s="1"/>
  <c r="J39" i="5"/>
  <c r="Q39" i="6" s="1"/>
  <c r="J41" i="5"/>
  <c r="Q41" i="6" s="1"/>
  <c r="J43" i="5"/>
  <c r="Q43" i="6" s="1"/>
  <c r="J45" i="5"/>
  <c r="Q45" i="6" s="1"/>
  <c r="J47" i="5"/>
  <c r="Q47" i="6" s="1"/>
  <c r="J49" i="5"/>
  <c r="Q49" i="6" s="1"/>
  <c r="J51" i="5"/>
  <c r="Q51" i="6" s="1"/>
  <c r="J53" i="5"/>
  <c r="Q53" i="6" s="1"/>
  <c r="J55" i="5"/>
  <c r="Q55" i="6" s="1"/>
  <c r="J57" i="5"/>
  <c r="Q57" i="6" s="1"/>
  <c r="J59" i="5"/>
  <c r="Q59" i="6" s="1"/>
  <c r="J61" i="5"/>
  <c r="Q61" i="6" s="1"/>
  <c r="J63" i="5"/>
  <c r="Q63" i="6" s="1"/>
  <c r="J65" i="5"/>
  <c r="Q65" i="6" s="1"/>
  <c r="J67" i="5"/>
  <c r="Q67" i="6" s="1"/>
  <c r="J69" i="5"/>
  <c r="Q69" i="6" s="1"/>
  <c r="J71" i="5"/>
  <c r="Q71" i="6" s="1"/>
  <c r="J73" i="5"/>
  <c r="Q73" i="6" s="1"/>
  <c r="J75" i="5"/>
  <c r="Q75" i="6" s="1"/>
  <c r="J77" i="5"/>
  <c r="Q77" i="6" s="1"/>
  <c r="J79" i="5"/>
  <c r="Q79" i="6" s="1"/>
  <c r="J81" i="5"/>
  <c r="Q81" i="6" s="1"/>
  <c r="J83" i="5"/>
  <c r="Q83" i="6" s="1"/>
  <c r="J85" i="5"/>
  <c r="Q85" i="6" s="1"/>
  <c r="J87" i="5"/>
  <c r="Q87" i="6" s="1"/>
  <c r="J89" i="5"/>
  <c r="Q89" i="6" s="1"/>
  <c r="J91" i="5"/>
  <c r="Q91" i="6" s="1"/>
  <c r="J93" i="5"/>
  <c r="Q93" i="6" s="1"/>
  <c r="J95" i="5"/>
  <c r="Q95" i="6" s="1"/>
  <c r="J97" i="5"/>
  <c r="Q97" i="6" s="1"/>
  <c r="J99" i="5"/>
  <c r="Q99" i="6" s="1"/>
  <c r="J101" i="5"/>
  <c r="Q101" i="6" s="1"/>
  <c r="J103" i="5"/>
  <c r="Q103" i="6" s="1"/>
  <c r="J105" i="5"/>
  <c r="Q105" i="6" s="1"/>
  <c r="J107" i="5"/>
  <c r="Q107" i="6" s="1"/>
  <c r="J109" i="5"/>
  <c r="Q109" i="6" s="1"/>
  <c r="J111" i="5"/>
  <c r="Q111" i="6" s="1"/>
  <c r="J113" i="5"/>
  <c r="Q113" i="6" s="1"/>
  <c r="J115" i="5"/>
  <c r="Q115" i="6" s="1"/>
  <c r="J117" i="5"/>
  <c r="Q117" i="6" s="1"/>
  <c r="J119" i="5"/>
  <c r="Q119" i="6" s="1"/>
  <c r="J4" i="5"/>
  <c r="Q4" i="6" s="1"/>
  <c r="J6" i="5"/>
  <c r="Q6" i="6" s="1"/>
  <c r="J8" i="5"/>
  <c r="Q8" i="6" s="1"/>
  <c r="J10" i="5"/>
  <c r="Q10" i="6" s="1"/>
  <c r="J12" i="5"/>
  <c r="Q12" i="6" s="1"/>
  <c r="J16" i="5"/>
  <c r="Q16" i="6" s="1"/>
  <c r="J20" i="5"/>
  <c r="Q20" i="6" s="1"/>
  <c r="J24" i="5"/>
  <c r="Q24" i="6" s="1"/>
  <c r="J26" i="5"/>
  <c r="Q26" i="6" s="1"/>
  <c r="J28" i="5"/>
  <c r="Q28" i="6" s="1"/>
  <c r="J30" i="5"/>
  <c r="Q30" i="6" s="1"/>
  <c r="J32" i="5"/>
  <c r="Q32" i="6" s="1"/>
  <c r="J34" i="5"/>
  <c r="Q34" i="6" s="1"/>
  <c r="J36" i="5"/>
  <c r="Q36" i="6" s="1"/>
  <c r="J38" i="5"/>
  <c r="Q38" i="6" s="1"/>
  <c r="J40" i="5"/>
  <c r="Q40" i="6" s="1"/>
  <c r="J42" i="5"/>
  <c r="Q42" i="6" s="1"/>
  <c r="J44" i="5"/>
  <c r="Q44" i="6" s="1"/>
  <c r="J46" i="5"/>
  <c r="Q46" i="6" s="1"/>
  <c r="J48" i="5"/>
  <c r="Q48" i="6" s="1"/>
  <c r="J50" i="5"/>
  <c r="Q50" i="6" s="1"/>
  <c r="J52" i="5"/>
  <c r="Q52" i="6" s="1"/>
  <c r="J54" i="5"/>
  <c r="Q54" i="6" s="1"/>
  <c r="J56" i="5"/>
  <c r="Q56" i="6" s="1"/>
  <c r="J58" i="5"/>
  <c r="Q58" i="6" s="1"/>
  <c r="J60" i="5"/>
  <c r="Q60" i="6" s="1"/>
  <c r="J62" i="5"/>
  <c r="Q62" i="6" s="1"/>
  <c r="J64" i="5"/>
  <c r="Q64" i="6" s="1"/>
  <c r="J66" i="5"/>
  <c r="Q66" i="6" s="1"/>
  <c r="J68" i="5"/>
  <c r="Q68" i="6" s="1"/>
  <c r="J70" i="5"/>
  <c r="Q70" i="6" s="1"/>
  <c r="J72" i="5"/>
  <c r="Q72" i="6" s="1"/>
  <c r="J74" i="5"/>
  <c r="Q74" i="6" s="1"/>
  <c r="J76" i="5"/>
  <c r="Q76" i="6" s="1"/>
  <c r="J78" i="5"/>
  <c r="Q78" i="6" s="1"/>
  <c r="J80" i="5"/>
  <c r="Q80" i="6" s="1"/>
  <c r="J82" i="5"/>
  <c r="Q82" i="6" s="1"/>
  <c r="J84" i="5"/>
  <c r="Q84" i="6" s="1"/>
  <c r="J86" i="5"/>
  <c r="Q86" i="6" s="1"/>
  <c r="J88" i="5"/>
  <c r="Q88" i="6" s="1"/>
  <c r="J90" i="5"/>
  <c r="Q90" i="6" s="1"/>
  <c r="J92" i="5"/>
  <c r="Q92" i="6" s="1"/>
  <c r="J94" i="5"/>
  <c r="Q94" i="6" s="1"/>
  <c r="J96" i="5"/>
  <c r="Q96" i="6" s="1"/>
  <c r="J98" i="5"/>
  <c r="Q98" i="6" s="1"/>
  <c r="J100" i="5"/>
  <c r="Q100" i="6" s="1"/>
  <c r="J102" i="5"/>
  <c r="Q102" i="6" s="1"/>
  <c r="J104" i="5"/>
  <c r="Q104" i="6" s="1"/>
  <c r="J2" i="5"/>
  <c r="Q2" i="6" s="1"/>
  <c r="J201" i="5"/>
  <c r="Q201" i="6" s="1"/>
  <c r="J199" i="5"/>
  <c r="Q199" i="6" s="1"/>
  <c r="J197" i="5"/>
  <c r="Q197" i="6" s="1"/>
  <c r="J195" i="5"/>
  <c r="Q195" i="6" s="1"/>
  <c r="J193" i="5"/>
  <c r="Q193" i="6" s="1"/>
  <c r="J191" i="5"/>
  <c r="Q191" i="6" s="1"/>
  <c r="J189" i="5"/>
  <c r="Q189" i="6" s="1"/>
  <c r="J187" i="5"/>
  <c r="Q187" i="6" s="1"/>
  <c r="J185" i="5"/>
  <c r="Q185" i="6" s="1"/>
  <c r="J183" i="5"/>
  <c r="Q183" i="6" s="1"/>
  <c r="J181" i="5"/>
  <c r="Q181" i="6" s="1"/>
  <c r="J179" i="5"/>
  <c r="Q179" i="6" s="1"/>
  <c r="J177" i="5"/>
  <c r="Q177" i="6" s="1"/>
  <c r="J175" i="5"/>
  <c r="Q175" i="6" s="1"/>
  <c r="J173" i="5"/>
  <c r="Q173" i="6" s="1"/>
  <c r="J171" i="5"/>
  <c r="Q171" i="6" s="1"/>
  <c r="J169" i="5"/>
  <c r="Q169" i="6" s="1"/>
  <c r="J167" i="5"/>
  <c r="Q167" i="6" s="1"/>
  <c r="J165" i="5"/>
  <c r="Q165" i="6" s="1"/>
  <c r="J163" i="5"/>
  <c r="Q163" i="6" s="1"/>
  <c r="J161" i="5"/>
  <c r="Q161" i="6" s="1"/>
  <c r="J159" i="5"/>
  <c r="Q159" i="6" s="1"/>
  <c r="J157" i="5"/>
  <c r="Q157" i="6" s="1"/>
  <c r="J155" i="5"/>
  <c r="Q155" i="6" s="1"/>
  <c r="J153" i="5"/>
  <c r="Q153" i="6" s="1"/>
  <c r="J151" i="5"/>
  <c r="Q151" i="6" s="1"/>
  <c r="J149" i="5"/>
  <c r="Q149" i="6" s="1"/>
  <c r="J147" i="5"/>
  <c r="Q147" i="6" s="1"/>
  <c r="J145" i="5"/>
  <c r="Q145" i="6" s="1"/>
  <c r="J143" i="5"/>
  <c r="Q143" i="6" s="1"/>
  <c r="J141" i="5"/>
  <c r="Q141" i="6" s="1"/>
  <c r="J139" i="5"/>
  <c r="Q139" i="6" s="1"/>
  <c r="J137" i="5"/>
  <c r="Q137" i="6" s="1"/>
  <c r="J135" i="5"/>
  <c r="Q135" i="6" s="1"/>
  <c r="J133" i="5"/>
  <c r="Q133" i="6" s="1"/>
  <c r="J131" i="5"/>
  <c r="Q131" i="6" s="1"/>
  <c r="J129" i="5"/>
  <c r="Q129" i="6" s="1"/>
  <c r="J127" i="5"/>
  <c r="Q127" i="6" s="1"/>
  <c r="J123" i="5"/>
  <c r="Q123" i="6" s="1"/>
  <c r="J125" i="5"/>
  <c r="Q125" i="6" s="1"/>
  <c r="J121" i="5"/>
  <c r="Q121" i="6" s="1"/>
  <c r="J13" i="5"/>
  <c r="Q13" i="6" s="1"/>
  <c r="J23" i="5"/>
  <c r="Q23" i="6" s="1"/>
  <c r="J21" i="5"/>
  <c r="Q21" i="6" s="1"/>
  <c r="J19" i="5"/>
  <c r="Q19" i="6" s="1"/>
  <c r="J17" i="5"/>
  <c r="Q17" i="6" s="1"/>
  <c r="J15" i="5"/>
  <c r="Q15" i="6" s="1"/>
  <c r="F106" i="5"/>
  <c r="J106" i="5" s="1"/>
  <c r="Q106" i="6" s="1"/>
  <c r="F108" i="5"/>
  <c r="J108" i="5" s="1"/>
  <c r="Q108" i="6" s="1"/>
  <c r="F110" i="5"/>
  <c r="J110" i="5" s="1"/>
  <c r="Q110" i="6" s="1"/>
  <c r="F112" i="5"/>
  <c r="J112" i="5" s="1"/>
  <c r="Q112" i="6" s="1"/>
  <c r="F114" i="5"/>
  <c r="J114" i="5" s="1"/>
  <c r="Q114" i="6" s="1"/>
  <c r="F116" i="5"/>
  <c r="J116" i="5" s="1"/>
  <c r="Q116" i="6" s="1"/>
  <c r="F118" i="5"/>
  <c r="J118" i="5" s="1"/>
  <c r="Q118" i="6" s="1"/>
  <c r="F120" i="5"/>
  <c r="J120" i="5" s="1"/>
  <c r="Q120" i="6" s="1"/>
  <c r="F122" i="5"/>
  <c r="J122" i="5" s="1"/>
  <c r="Q122" i="6" s="1"/>
  <c r="F124" i="5"/>
  <c r="J124" i="5" s="1"/>
  <c r="Q124" i="6" s="1"/>
  <c r="F126" i="5"/>
  <c r="J126" i="5" s="1"/>
  <c r="Q126" i="6" s="1"/>
  <c r="F128" i="5"/>
  <c r="J128" i="5" s="1"/>
  <c r="Q128" i="6" s="1"/>
  <c r="F130" i="5"/>
  <c r="J130" i="5" s="1"/>
  <c r="Q130" i="6" s="1"/>
  <c r="F132" i="5"/>
  <c r="J132" i="5" s="1"/>
  <c r="Q132" i="6" s="1"/>
  <c r="F134" i="5"/>
  <c r="J134" i="5" s="1"/>
  <c r="Q134" i="6" s="1"/>
  <c r="F136" i="5"/>
  <c r="J136" i="5" s="1"/>
  <c r="Q136" i="6" s="1"/>
  <c r="F138" i="5"/>
  <c r="J138" i="5" s="1"/>
  <c r="Q138" i="6" s="1"/>
  <c r="F140" i="5"/>
  <c r="J140" i="5" s="1"/>
  <c r="Q140" i="6" s="1"/>
  <c r="F142" i="5"/>
  <c r="J142" i="5" s="1"/>
  <c r="Q142" i="6" s="1"/>
  <c r="F144" i="5"/>
  <c r="J144" i="5" s="1"/>
  <c r="Q144" i="6" s="1"/>
  <c r="F146" i="5"/>
  <c r="J146" i="5" s="1"/>
  <c r="Q146" i="6" s="1"/>
  <c r="F148" i="5"/>
  <c r="J148" i="5" s="1"/>
  <c r="Q148" i="6" s="1"/>
  <c r="F150" i="5"/>
  <c r="J150" i="5" s="1"/>
  <c r="Q150" i="6" s="1"/>
  <c r="F152" i="5"/>
  <c r="J152" i="5" s="1"/>
  <c r="Q152" i="6" s="1"/>
  <c r="F154" i="5"/>
  <c r="J154" i="5" s="1"/>
  <c r="Q154" i="6" s="1"/>
  <c r="F156" i="5"/>
  <c r="J156" i="5" s="1"/>
  <c r="Q156" i="6" s="1"/>
  <c r="F158" i="5"/>
  <c r="J158" i="5" s="1"/>
  <c r="Q158" i="6" s="1"/>
  <c r="F160" i="5"/>
  <c r="J160" i="5" s="1"/>
  <c r="Q160" i="6" s="1"/>
  <c r="F162" i="5"/>
  <c r="J162" i="5" s="1"/>
  <c r="Q162" i="6" s="1"/>
  <c r="F164" i="5"/>
  <c r="J164" i="5" s="1"/>
  <c r="Q164" i="6" s="1"/>
  <c r="F166" i="5"/>
  <c r="J166" i="5" s="1"/>
  <c r="Q166" i="6" s="1"/>
  <c r="F168" i="5"/>
  <c r="J168" i="5" s="1"/>
  <c r="Q168" i="6" s="1"/>
  <c r="F170" i="5"/>
  <c r="J170" i="5" s="1"/>
  <c r="Q170" i="6" s="1"/>
  <c r="F172" i="5"/>
  <c r="J172" i="5" s="1"/>
  <c r="Q172" i="6" s="1"/>
  <c r="F174" i="5"/>
  <c r="J174" i="5" s="1"/>
  <c r="Q174" i="6" s="1"/>
  <c r="F176" i="5"/>
  <c r="J176" i="5" s="1"/>
  <c r="Q176" i="6" s="1"/>
  <c r="F178" i="5"/>
  <c r="J178" i="5" s="1"/>
  <c r="Q178" i="6" s="1"/>
  <c r="F180" i="5"/>
  <c r="J180" i="5" s="1"/>
  <c r="Q180" i="6" s="1"/>
  <c r="F182" i="5"/>
  <c r="J182" i="5" s="1"/>
  <c r="Q182" i="6" s="1"/>
  <c r="F184" i="5"/>
  <c r="J184" i="5" s="1"/>
  <c r="Q184" i="6" s="1"/>
  <c r="F186" i="5"/>
  <c r="J186" i="5" s="1"/>
  <c r="Q186" i="6" s="1"/>
  <c r="F188" i="5"/>
  <c r="J188" i="5" s="1"/>
  <c r="Q188" i="6" s="1"/>
  <c r="F190" i="5"/>
  <c r="J190" i="5" s="1"/>
  <c r="Q190" i="6" s="1"/>
  <c r="F192" i="5"/>
  <c r="J192" i="5" s="1"/>
  <c r="Q192" i="6" s="1"/>
  <c r="F194" i="5"/>
  <c r="J194" i="5" s="1"/>
  <c r="Q194" i="6" s="1"/>
  <c r="F196" i="5"/>
  <c r="J196" i="5" s="1"/>
  <c r="Q196" i="6" s="1"/>
  <c r="F198" i="5"/>
  <c r="J198" i="5" s="1"/>
  <c r="Q198" i="6" s="1"/>
  <c r="F200" i="5"/>
  <c r="J200" i="5" s="1"/>
  <c r="Q200" i="6" s="1"/>
  <c r="U4" i="6"/>
  <c r="U3" i="6"/>
  <c r="H2" i="4"/>
  <c r="J2" i="4"/>
  <c r="F199" i="4"/>
  <c r="J199" i="4" s="1"/>
  <c r="P199" i="6" s="1"/>
  <c r="H2" i="2"/>
  <c r="F2" i="6" s="1"/>
  <c r="F195" i="4"/>
  <c r="J195" i="4" s="1"/>
  <c r="P195" i="6" s="1"/>
  <c r="F187" i="4"/>
  <c r="J187" i="4" s="1"/>
  <c r="P187" i="6" s="1"/>
  <c r="F179" i="4"/>
  <c r="J179" i="4" s="1"/>
  <c r="P179" i="6" s="1"/>
  <c r="F171" i="4"/>
  <c r="J171" i="4" s="1"/>
  <c r="P171" i="6" s="1"/>
  <c r="F163" i="4"/>
  <c r="J163" i="4" s="1"/>
  <c r="P163" i="6" s="1"/>
  <c r="F155" i="4"/>
  <c r="J155" i="4" s="1"/>
  <c r="P155" i="6" s="1"/>
  <c r="F147" i="4"/>
  <c r="J147" i="4" s="1"/>
  <c r="P147" i="6" s="1"/>
  <c r="F139" i="4"/>
  <c r="J139" i="4" s="1"/>
  <c r="P139" i="6" s="1"/>
  <c r="F131" i="4"/>
  <c r="J131" i="4" s="1"/>
  <c r="P131" i="6" s="1"/>
  <c r="F123" i="4"/>
  <c r="J123" i="4" s="1"/>
  <c r="P123" i="6" s="1"/>
  <c r="F115" i="4"/>
  <c r="J115" i="4" s="1"/>
  <c r="P115" i="6" s="1"/>
  <c r="F107" i="4"/>
  <c r="J107" i="4" s="1"/>
  <c r="P107" i="6" s="1"/>
  <c r="F99" i="4"/>
  <c r="J99" i="4" s="1"/>
  <c r="P99" i="6" s="1"/>
  <c r="F91" i="4"/>
  <c r="J91" i="4" s="1"/>
  <c r="P91" i="6" s="1"/>
  <c r="F83" i="4"/>
  <c r="J83" i="4" s="1"/>
  <c r="P83" i="6" s="1"/>
  <c r="F75" i="4"/>
  <c r="J75" i="4" s="1"/>
  <c r="P75" i="6" s="1"/>
  <c r="F67" i="4"/>
  <c r="J67" i="4" s="1"/>
  <c r="P67" i="6" s="1"/>
  <c r="F59" i="4"/>
  <c r="J59" i="4" s="1"/>
  <c r="P59" i="6" s="1"/>
  <c r="F51" i="4"/>
  <c r="J51" i="4" s="1"/>
  <c r="P51" i="6" s="1"/>
  <c r="F43" i="4"/>
  <c r="J43" i="4" s="1"/>
  <c r="P43" i="6" s="1"/>
  <c r="F35" i="4"/>
  <c r="J35" i="4" s="1"/>
  <c r="P35" i="6" s="1"/>
  <c r="F30" i="4"/>
  <c r="J30" i="4" s="1"/>
  <c r="P30" i="6" s="1"/>
  <c r="F26" i="4"/>
  <c r="J26" i="4" s="1"/>
  <c r="P26" i="6" s="1"/>
  <c r="F22" i="4"/>
  <c r="J22" i="4" s="1"/>
  <c r="P22" i="6" s="1"/>
  <c r="F18" i="4"/>
  <c r="J18" i="4" s="1"/>
  <c r="P18" i="6" s="1"/>
  <c r="F14" i="4"/>
  <c r="J14" i="4" s="1"/>
  <c r="P14" i="6" s="1"/>
  <c r="F10" i="4"/>
  <c r="J10" i="4" s="1"/>
  <c r="P10" i="6" s="1"/>
  <c r="F6" i="4"/>
  <c r="J6" i="4" s="1"/>
  <c r="P6" i="6" s="1"/>
  <c r="M2" i="4"/>
  <c r="N2" i="4" s="1"/>
  <c r="M2" i="2"/>
  <c r="M2" i="3"/>
  <c r="F202" i="3"/>
  <c r="J202" i="3" s="1"/>
  <c r="O202" i="6" s="1"/>
  <c r="F201" i="3"/>
  <c r="J201" i="3" s="1"/>
  <c r="O201" i="6" s="1"/>
  <c r="F200" i="3"/>
  <c r="J200" i="3" s="1"/>
  <c r="O200" i="6" s="1"/>
  <c r="F199" i="3"/>
  <c r="J199" i="3" s="1"/>
  <c r="O199" i="6" s="1"/>
  <c r="F198" i="3"/>
  <c r="J198" i="3" s="1"/>
  <c r="O198" i="6" s="1"/>
  <c r="F197" i="3"/>
  <c r="J197" i="3" s="1"/>
  <c r="O197" i="6" s="1"/>
  <c r="F196" i="3"/>
  <c r="J196" i="3" s="1"/>
  <c r="O196" i="6" s="1"/>
  <c r="F195" i="3"/>
  <c r="J195" i="3" s="1"/>
  <c r="O195" i="6" s="1"/>
  <c r="F194" i="3"/>
  <c r="J194" i="3" s="1"/>
  <c r="O194" i="6" s="1"/>
  <c r="F193" i="3"/>
  <c r="J193" i="3" s="1"/>
  <c r="O193" i="6" s="1"/>
  <c r="F192" i="3"/>
  <c r="J192" i="3" s="1"/>
  <c r="O192" i="6" s="1"/>
  <c r="F191" i="3"/>
  <c r="J191" i="3" s="1"/>
  <c r="O191" i="6" s="1"/>
  <c r="F190" i="3"/>
  <c r="J190" i="3" s="1"/>
  <c r="O190" i="6" s="1"/>
  <c r="F189" i="3"/>
  <c r="J189" i="3" s="1"/>
  <c r="O189" i="6" s="1"/>
  <c r="F188" i="3"/>
  <c r="J188" i="3" s="1"/>
  <c r="O188" i="6" s="1"/>
  <c r="F187" i="3"/>
  <c r="J187" i="3" s="1"/>
  <c r="O187" i="6" s="1"/>
  <c r="F186" i="3"/>
  <c r="J186" i="3" s="1"/>
  <c r="O186" i="6" s="1"/>
  <c r="F185" i="3"/>
  <c r="J185" i="3" s="1"/>
  <c r="O185" i="6" s="1"/>
  <c r="F184" i="3"/>
  <c r="J184" i="3" s="1"/>
  <c r="O184" i="6" s="1"/>
  <c r="F183" i="3"/>
  <c r="J183" i="3" s="1"/>
  <c r="O183" i="6" s="1"/>
  <c r="F182" i="3"/>
  <c r="J182" i="3" s="1"/>
  <c r="O182" i="6" s="1"/>
  <c r="F181" i="3"/>
  <c r="J181" i="3" s="1"/>
  <c r="O181" i="6" s="1"/>
  <c r="F180" i="3"/>
  <c r="J180" i="3" s="1"/>
  <c r="O180" i="6" s="1"/>
  <c r="F179" i="3"/>
  <c r="J179" i="3" s="1"/>
  <c r="O179" i="6" s="1"/>
  <c r="F178" i="3"/>
  <c r="J178" i="3" s="1"/>
  <c r="O178" i="6" s="1"/>
  <c r="F177" i="3"/>
  <c r="J177" i="3" s="1"/>
  <c r="O177" i="6" s="1"/>
  <c r="F176" i="3"/>
  <c r="J176" i="3" s="1"/>
  <c r="O176" i="6" s="1"/>
  <c r="F175" i="3"/>
  <c r="J175" i="3" s="1"/>
  <c r="O175" i="6" s="1"/>
  <c r="F174" i="3"/>
  <c r="J174" i="3" s="1"/>
  <c r="O174" i="6" s="1"/>
  <c r="F173" i="3"/>
  <c r="J173" i="3" s="1"/>
  <c r="O173" i="6" s="1"/>
  <c r="F172" i="3"/>
  <c r="J172" i="3" s="1"/>
  <c r="O172" i="6" s="1"/>
  <c r="F171" i="3"/>
  <c r="J171" i="3" s="1"/>
  <c r="O171" i="6" s="1"/>
  <c r="F170" i="3"/>
  <c r="J170" i="3" s="1"/>
  <c r="O170" i="6" s="1"/>
  <c r="F169" i="3"/>
  <c r="J169" i="3" s="1"/>
  <c r="O169" i="6" s="1"/>
  <c r="F168" i="3"/>
  <c r="J168" i="3" s="1"/>
  <c r="O168" i="6" s="1"/>
  <c r="F167" i="3"/>
  <c r="J167" i="3" s="1"/>
  <c r="O167" i="6" s="1"/>
  <c r="F166" i="3"/>
  <c r="J166" i="3" s="1"/>
  <c r="O166" i="6" s="1"/>
  <c r="F165" i="3"/>
  <c r="J165" i="3" s="1"/>
  <c r="O165" i="6" s="1"/>
  <c r="F164" i="3"/>
  <c r="J164" i="3" s="1"/>
  <c r="O164" i="6" s="1"/>
  <c r="F163" i="3"/>
  <c r="J163" i="3" s="1"/>
  <c r="O163" i="6" s="1"/>
  <c r="F162" i="3"/>
  <c r="J162" i="3" s="1"/>
  <c r="O162" i="6" s="1"/>
  <c r="F161" i="3"/>
  <c r="J161" i="3" s="1"/>
  <c r="O161" i="6" s="1"/>
  <c r="F160" i="3"/>
  <c r="J160" i="3" s="1"/>
  <c r="O160" i="6" s="1"/>
  <c r="F159" i="3"/>
  <c r="J159" i="3" s="1"/>
  <c r="O159" i="6" s="1"/>
  <c r="F158" i="3"/>
  <c r="J158" i="3" s="1"/>
  <c r="O158" i="6" s="1"/>
  <c r="F157" i="3"/>
  <c r="J157" i="3" s="1"/>
  <c r="O157" i="6" s="1"/>
  <c r="F156" i="3"/>
  <c r="J156" i="3" s="1"/>
  <c r="O156" i="6" s="1"/>
  <c r="F155" i="3"/>
  <c r="J155" i="3" s="1"/>
  <c r="O155" i="6" s="1"/>
  <c r="F154" i="3"/>
  <c r="J154" i="3" s="1"/>
  <c r="O154" i="6" s="1"/>
  <c r="F153" i="3"/>
  <c r="J153" i="3" s="1"/>
  <c r="O153" i="6" s="1"/>
  <c r="F152" i="3"/>
  <c r="J152" i="3" s="1"/>
  <c r="O152" i="6" s="1"/>
  <c r="F151" i="3"/>
  <c r="J151" i="3" s="1"/>
  <c r="O151" i="6" s="1"/>
  <c r="F150" i="3"/>
  <c r="J150" i="3" s="1"/>
  <c r="O150" i="6" s="1"/>
  <c r="F149" i="3"/>
  <c r="J149" i="3" s="1"/>
  <c r="O149" i="6" s="1"/>
  <c r="F148" i="3"/>
  <c r="J148" i="3" s="1"/>
  <c r="O148" i="6" s="1"/>
  <c r="F147" i="3"/>
  <c r="J147" i="3" s="1"/>
  <c r="O147" i="6" s="1"/>
  <c r="F146" i="3"/>
  <c r="J146" i="3" s="1"/>
  <c r="O146" i="6" s="1"/>
  <c r="F145" i="3"/>
  <c r="J145" i="3" s="1"/>
  <c r="O145" i="6" s="1"/>
  <c r="F144" i="3"/>
  <c r="J144" i="3" s="1"/>
  <c r="O144" i="6" s="1"/>
  <c r="F143" i="3"/>
  <c r="J143" i="3" s="1"/>
  <c r="O143" i="6" s="1"/>
  <c r="F142" i="3"/>
  <c r="J142" i="3" s="1"/>
  <c r="O142" i="6" s="1"/>
  <c r="F141" i="3"/>
  <c r="J141" i="3" s="1"/>
  <c r="O141" i="6" s="1"/>
  <c r="F140" i="3"/>
  <c r="J140" i="3" s="1"/>
  <c r="O140" i="6" s="1"/>
  <c r="F139" i="3"/>
  <c r="J139" i="3" s="1"/>
  <c r="O139" i="6" s="1"/>
  <c r="F138" i="3"/>
  <c r="J138" i="3" s="1"/>
  <c r="O138" i="6" s="1"/>
  <c r="F137" i="3"/>
  <c r="J137" i="3" s="1"/>
  <c r="O137" i="6" s="1"/>
  <c r="F136" i="3"/>
  <c r="J136" i="3" s="1"/>
  <c r="O136" i="6" s="1"/>
  <c r="F135" i="3"/>
  <c r="J135" i="3" s="1"/>
  <c r="O135" i="6" s="1"/>
  <c r="F134" i="3"/>
  <c r="J134" i="3" s="1"/>
  <c r="O134" i="6" s="1"/>
  <c r="F133" i="3"/>
  <c r="J133" i="3" s="1"/>
  <c r="O133" i="6" s="1"/>
  <c r="F132" i="3"/>
  <c r="J132" i="3" s="1"/>
  <c r="O132" i="6" s="1"/>
  <c r="F131" i="3"/>
  <c r="J131" i="3" s="1"/>
  <c r="O131" i="6" s="1"/>
  <c r="F130" i="3"/>
  <c r="J130" i="3" s="1"/>
  <c r="O130" i="6" s="1"/>
  <c r="F129" i="3"/>
  <c r="J129" i="3" s="1"/>
  <c r="O129" i="6" s="1"/>
  <c r="F128" i="3"/>
  <c r="J128" i="3" s="1"/>
  <c r="O128" i="6" s="1"/>
  <c r="F127" i="3"/>
  <c r="J127" i="3" s="1"/>
  <c r="O127" i="6" s="1"/>
  <c r="F126" i="3"/>
  <c r="J126" i="3" s="1"/>
  <c r="O126" i="6" s="1"/>
  <c r="F125" i="3"/>
  <c r="J125" i="3" s="1"/>
  <c r="O125" i="6" s="1"/>
  <c r="F124" i="3"/>
  <c r="J124" i="3" s="1"/>
  <c r="O124" i="6" s="1"/>
  <c r="F123" i="3"/>
  <c r="J123" i="3" s="1"/>
  <c r="O123" i="6" s="1"/>
  <c r="F122" i="3"/>
  <c r="J122" i="3" s="1"/>
  <c r="O122" i="6" s="1"/>
  <c r="F121" i="3"/>
  <c r="J121" i="3" s="1"/>
  <c r="O121" i="6" s="1"/>
  <c r="F120" i="3"/>
  <c r="J120" i="3" s="1"/>
  <c r="O120" i="6" s="1"/>
  <c r="F119" i="3"/>
  <c r="J119" i="3" s="1"/>
  <c r="O119" i="6" s="1"/>
  <c r="F118" i="3"/>
  <c r="J118" i="3" s="1"/>
  <c r="O118" i="6" s="1"/>
  <c r="F117" i="3"/>
  <c r="J117" i="3" s="1"/>
  <c r="O117" i="6" s="1"/>
  <c r="F116" i="3"/>
  <c r="J116" i="3" s="1"/>
  <c r="O116" i="6" s="1"/>
  <c r="F115" i="3"/>
  <c r="J115" i="3" s="1"/>
  <c r="O115" i="6" s="1"/>
  <c r="F114" i="3"/>
  <c r="J114" i="3" s="1"/>
  <c r="O114" i="6" s="1"/>
  <c r="F113" i="3"/>
  <c r="J113" i="3" s="1"/>
  <c r="O113" i="6" s="1"/>
  <c r="F112" i="3"/>
  <c r="J112" i="3" s="1"/>
  <c r="O112" i="6" s="1"/>
  <c r="F111" i="3"/>
  <c r="J111" i="3" s="1"/>
  <c r="O111" i="6" s="1"/>
  <c r="F110" i="3"/>
  <c r="J110" i="3" s="1"/>
  <c r="O110" i="6" s="1"/>
  <c r="F109" i="3"/>
  <c r="J109" i="3" s="1"/>
  <c r="O109" i="6" s="1"/>
  <c r="F108" i="3"/>
  <c r="J108" i="3" s="1"/>
  <c r="O108" i="6" s="1"/>
  <c r="F107" i="3"/>
  <c r="J107" i="3" s="1"/>
  <c r="O107" i="6" s="1"/>
  <c r="F106" i="3"/>
  <c r="J106" i="3" s="1"/>
  <c r="O106" i="6" s="1"/>
  <c r="F105" i="3"/>
  <c r="J105" i="3" s="1"/>
  <c r="O105" i="6" s="1"/>
  <c r="F104" i="3"/>
  <c r="J104" i="3" s="1"/>
  <c r="O104" i="6" s="1"/>
  <c r="F103" i="3"/>
  <c r="J103" i="3" s="1"/>
  <c r="O103" i="6" s="1"/>
  <c r="F102" i="3"/>
  <c r="J102" i="3" s="1"/>
  <c r="O102" i="6" s="1"/>
  <c r="F101" i="3"/>
  <c r="J101" i="3" s="1"/>
  <c r="O101" i="6" s="1"/>
  <c r="F100" i="3"/>
  <c r="J100" i="3" s="1"/>
  <c r="O100" i="6" s="1"/>
  <c r="F99" i="3"/>
  <c r="J99" i="3" s="1"/>
  <c r="O99" i="6" s="1"/>
  <c r="F98" i="3"/>
  <c r="J98" i="3" s="1"/>
  <c r="O98" i="6" s="1"/>
  <c r="F97" i="3"/>
  <c r="J97" i="3" s="1"/>
  <c r="O97" i="6" s="1"/>
  <c r="F96" i="3"/>
  <c r="J96" i="3" s="1"/>
  <c r="O96" i="6" s="1"/>
  <c r="F95" i="3"/>
  <c r="J95" i="3" s="1"/>
  <c r="O95" i="6" s="1"/>
  <c r="F94" i="3"/>
  <c r="J94" i="3" s="1"/>
  <c r="O94" i="6" s="1"/>
  <c r="F93" i="3"/>
  <c r="J93" i="3" s="1"/>
  <c r="O93" i="6" s="1"/>
  <c r="F92" i="3"/>
  <c r="J92" i="3" s="1"/>
  <c r="O92" i="6" s="1"/>
  <c r="F91" i="3"/>
  <c r="J91" i="3" s="1"/>
  <c r="O91" i="6" s="1"/>
  <c r="F90" i="3"/>
  <c r="J90" i="3" s="1"/>
  <c r="O90" i="6" s="1"/>
  <c r="F89" i="3"/>
  <c r="J89" i="3" s="1"/>
  <c r="O89" i="6" s="1"/>
  <c r="F88" i="3"/>
  <c r="J88" i="3" s="1"/>
  <c r="O88" i="6" s="1"/>
  <c r="F87" i="3"/>
  <c r="J87" i="3" s="1"/>
  <c r="O87" i="6" s="1"/>
  <c r="F86" i="3"/>
  <c r="J86" i="3" s="1"/>
  <c r="O86" i="6" s="1"/>
  <c r="F85" i="3"/>
  <c r="J85" i="3" s="1"/>
  <c r="O85" i="6" s="1"/>
  <c r="F84" i="3"/>
  <c r="J84" i="3" s="1"/>
  <c r="O84" i="6" s="1"/>
  <c r="F83" i="3"/>
  <c r="J83" i="3" s="1"/>
  <c r="O83" i="6" s="1"/>
  <c r="F82" i="3"/>
  <c r="J82" i="3" s="1"/>
  <c r="O82" i="6" s="1"/>
  <c r="F81" i="3"/>
  <c r="J81" i="3" s="1"/>
  <c r="O81" i="6" s="1"/>
  <c r="F80" i="3"/>
  <c r="J80" i="3" s="1"/>
  <c r="O80" i="6" s="1"/>
  <c r="F79" i="3"/>
  <c r="J79" i="3" s="1"/>
  <c r="O79" i="6" s="1"/>
  <c r="F78" i="3"/>
  <c r="J78" i="3" s="1"/>
  <c r="O78" i="6" s="1"/>
  <c r="F77" i="3"/>
  <c r="J77" i="3" s="1"/>
  <c r="O77" i="6" s="1"/>
  <c r="F76" i="3"/>
  <c r="J76" i="3" s="1"/>
  <c r="O76" i="6" s="1"/>
  <c r="F75" i="3"/>
  <c r="J75" i="3" s="1"/>
  <c r="O75" i="6" s="1"/>
  <c r="F74" i="3"/>
  <c r="J74" i="3" s="1"/>
  <c r="O74" i="6" s="1"/>
  <c r="F73" i="3"/>
  <c r="J73" i="3" s="1"/>
  <c r="O73" i="6" s="1"/>
  <c r="F72" i="3"/>
  <c r="J72" i="3" s="1"/>
  <c r="O72" i="6" s="1"/>
  <c r="F71" i="3"/>
  <c r="J71" i="3" s="1"/>
  <c r="O71" i="6" s="1"/>
  <c r="F70" i="3"/>
  <c r="J70" i="3" s="1"/>
  <c r="O70" i="6" s="1"/>
  <c r="F69" i="3"/>
  <c r="J69" i="3" s="1"/>
  <c r="O69" i="6" s="1"/>
  <c r="F68" i="3"/>
  <c r="J68" i="3" s="1"/>
  <c r="O68" i="6" s="1"/>
  <c r="F67" i="3"/>
  <c r="J67" i="3" s="1"/>
  <c r="O67" i="6" s="1"/>
  <c r="F66" i="3"/>
  <c r="J66" i="3" s="1"/>
  <c r="O66" i="6" s="1"/>
  <c r="F65" i="3"/>
  <c r="J65" i="3" s="1"/>
  <c r="O65" i="6" s="1"/>
  <c r="F64" i="3"/>
  <c r="J64" i="3" s="1"/>
  <c r="O64" i="6" s="1"/>
  <c r="F63" i="3"/>
  <c r="J63" i="3" s="1"/>
  <c r="O63" i="6" s="1"/>
  <c r="F62" i="3"/>
  <c r="J62" i="3" s="1"/>
  <c r="O62" i="6" s="1"/>
  <c r="F61" i="3"/>
  <c r="J61" i="3" s="1"/>
  <c r="O61" i="6" s="1"/>
  <c r="F60" i="3"/>
  <c r="J60" i="3" s="1"/>
  <c r="O60" i="6" s="1"/>
  <c r="F59" i="3"/>
  <c r="J59" i="3" s="1"/>
  <c r="O59" i="6" s="1"/>
  <c r="F58" i="3"/>
  <c r="J58" i="3" s="1"/>
  <c r="O58" i="6" s="1"/>
  <c r="F57" i="3"/>
  <c r="J57" i="3" s="1"/>
  <c r="O57" i="6" s="1"/>
  <c r="F56" i="3"/>
  <c r="J56" i="3" s="1"/>
  <c r="O56" i="6" s="1"/>
  <c r="F55" i="3"/>
  <c r="J55" i="3" s="1"/>
  <c r="O55" i="6" s="1"/>
  <c r="F54" i="3"/>
  <c r="J54" i="3" s="1"/>
  <c r="O54" i="6" s="1"/>
  <c r="F53" i="3"/>
  <c r="J53" i="3" s="1"/>
  <c r="O53" i="6" s="1"/>
  <c r="F52" i="3"/>
  <c r="J52" i="3" s="1"/>
  <c r="O52" i="6" s="1"/>
  <c r="F51" i="3"/>
  <c r="J51" i="3" s="1"/>
  <c r="O51" i="6" s="1"/>
  <c r="F50" i="3"/>
  <c r="J50" i="3" s="1"/>
  <c r="O50" i="6" s="1"/>
  <c r="F49" i="3"/>
  <c r="J49" i="3" s="1"/>
  <c r="O49" i="6" s="1"/>
  <c r="F48" i="3"/>
  <c r="J48" i="3" s="1"/>
  <c r="O48" i="6" s="1"/>
  <c r="F47" i="3"/>
  <c r="J47" i="3" s="1"/>
  <c r="O47" i="6" s="1"/>
  <c r="F46" i="3"/>
  <c r="J46" i="3" s="1"/>
  <c r="O46" i="6" s="1"/>
  <c r="F45" i="3"/>
  <c r="J45" i="3" s="1"/>
  <c r="O45" i="6" s="1"/>
  <c r="F44" i="3"/>
  <c r="J44" i="3" s="1"/>
  <c r="O44" i="6" s="1"/>
  <c r="F43" i="3"/>
  <c r="J43" i="3" s="1"/>
  <c r="O43" i="6" s="1"/>
  <c r="F42" i="3"/>
  <c r="J42" i="3" s="1"/>
  <c r="O42" i="6" s="1"/>
  <c r="F41" i="3"/>
  <c r="J41" i="3" s="1"/>
  <c r="O41" i="6" s="1"/>
  <c r="F40" i="3"/>
  <c r="J40" i="3" s="1"/>
  <c r="O40" i="6" s="1"/>
  <c r="F39" i="3"/>
  <c r="J39" i="3" s="1"/>
  <c r="O39" i="6" s="1"/>
  <c r="F38" i="3"/>
  <c r="J38" i="3" s="1"/>
  <c r="O38" i="6" s="1"/>
  <c r="F37" i="3"/>
  <c r="J37" i="3" s="1"/>
  <c r="O37" i="6" s="1"/>
  <c r="F36" i="3"/>
  <c r="J36" i="3" s="1"/>
  <c r="O36" i="6" s="1"/>
  <c r="F35" i="3"/>
  <c r="J35" i="3" s="1"/>
  <c r="O35" i="6" s="1"/>
  <c r="F34" i="3"/>
  <c r="J34" i="3" s="1"/>
  <c r="O34" i="6" s="1"/>
  <c r="F33" i="3"/>
  <c r="J33" i="3" s="1"/>
  <c r="O33" i="6" s="1"/>
  <c r="F32" i="3"/>
  <c r="J32" i="3" s="1"/>
  <c r="O32" i="6" s="1"/>
  <c r="F31" i="3"/>
  <c r="J31" i="3" s="1"/>
  <c r="O31" i="6" s="1"/>
  <c r="F30" i="3"/>
  <c r="J30" i="3" s="1"/>
  <c r="O30" i="6" s="1"/>
  <c r="F29" i="3"/>
  <c r="J29" i="3" s="1"/>
  <c r="O29" i="6" s="1"/>
  <c r="F28" i="3"/>
  <c r="J28" i="3" s="1"/>
  <c r="O28" i="6" s="1"/>
  <c r="F27" i="3"/>
  <c r="J27" i="3" s="1"/>
  <c r="O27" i="6" s="1"/>
  <c r="F26" i="3"/>
  <c r="J26" i="3" s="1"/>
  <c r="O26" i="6" s="1"/>
  <c r="F25" i="3"/>
  <c r="J25" i="3" s="1"/>
  <c r="O25" i="6" s="1"/>
  <c r="F24" i="3"/>
  <c r="J24" i="3" s="1"/>
  <c r="O24" i="6" s="1"/>
  <c r="F23" i="3"/>
  <c r="J23" i="3" s="1"/>
  <c r="O23" i="6" s="1"/>
  <c r="F22" i="3"/>
  <c r="J22" i="3" s="1"/>
  <c r="O22" i="6" s="1"/>
  <c r="F21" i="3"/>
  <c r="J21" i="3" s="1"/>
  <c r="O21" i="6" s="1"/>
  <c r="F20" i="3"/>
  <c r="J20" i="3" s="1"/>
  <c r="O20" i="6" s="1"/>
  <c r="F19" i="3"/>
  <c r="J19" i="3" s="1"/>
  <c r="O19" i="6" s="1"/>
  <c r="F18" i="3"/>
  <c r="J18" i="3" s="1"/>
  <c r="O18" i="6" s="1"/>
  <c r="F17" i="3"/>
  <c r="J17" i="3" s="1"/>
  <c r="O17" i="6" s="1"/>
  <c r="F16" i="3"/>
  <c r="J16" i="3" s="1"/>
  <c r="O16" i="6" s="1"/>
  <c r="F15" i="3"/>
  <c r="J15" i="3" s="1"/>
  <c r="O15" i="6" s="1"/>
  <c r="F14" i="3"/>
  <c r="J14" i="3" s="1"/>
  <c r="O14" i="6" s="1"/>
  <c r="F13" i="3"/>
  <c r="J13" i="3" s="1"/>
  <c r="O13" i="6" s="1"/>
  <c r="F12" i="3"/>
  <c r="J12" i="3" s="1"/>
  <c r="O12" i="6" s="1"/>
  <c r="F11" i="3"/>
  <c r="J11" i="3" s="1"/>
  <c r="O11" i="6" s="1"/>
  <c r="F10" i="3"/>
  <c r="J10" i="3" s="1"/>
  <c r="O10" i="6" s="1"/>
  <c r="F9" i="3"/>
  <c r="J9" i="3" s="1"/>
  <c r="O9" i="6" s="1"/>
  <c r="F8" i="3"/>
  <c r="J8" i="3" s="1"/>
  <c r="O8" i="6" s="1"/>
  <c r="F7" i="3"/>
  <c r="J7" i="3" s="1"/>
  <c r="O7" i="6" s="1"/>
  <c r="F6" i="3"/>
  <c r="J6" i="3" s="1"/>
  <c r="O6" i="6" s="1"/>
  <c r="F5" i="3"/>
  <c r="J5" i="3" s="1"/>
  <c r="O5" i="6" s="1"/>
  <c r="F4" i="3"/>
  <c r="J4" i="3" s="1"/>
  <c r="F3" i="3"/>
  <c r="J3" i="3" s="1"/>
  <c r="J2" i="3"/>
  <c r="H2" i="3"/>
  <c r="F2" i="3"/>
  <c r="F202" i="2"/>
  <c r="J202" i="2" s="1"/>
  <c r="N202" i="6" s="1"/>
  <c r="F201" i="2"/>
  <c r="J201" i="2" s="1"/>
  <c r="N201" i="6" s="1"/>
  <c r="F200" i="2"/>
  <c r="J200" i="2" s="1"/>
  <c r="N200" i="6" s="1"/>
  <c r="F199" i="2"/>
  <c r="J199" i="2" s="1"/>
  <c r="N199" i="6" s="1"/>
  <c r="F198" i="2"/>
  <c r="J198" i="2" s="1"/>
  <c r="N198" i="6" s="1"/>
  <c r="F197" i="2"/>
  <c r="J197" i="2" s="1"/>
  <c r="N197" i="6" s="1"/>
  <c r="F196" i="2"/>
  <c r="J196" i="2" s="1"/>
  <c r="N196" i="6" s="1"/>
  <c r="F195" i="2"/>
  <c r="J195" i="2" s="1"/>
  <c r="N195" i="6" s="1"/>
  <c r="F194" i="2"/>
  <c r="J194" i="2" s="1"/>
  <c r="N194" i="6" s="1"/>
  <c r="F193" i="2"/>
  <c r="J193" i="2" s="1"/>
  <c r="N193" i="6" s="1"/>
  <c r="F192" i="2"/>
  <c r="J192" i="2" s="1"/>
  <c r="N192" i="6" s="1"/>
  <c r="F191" i="2"/>
  <c r="J191" i="2" s="1"/>
  <c r="N191" i="6" s="1"/>
  <c r="F190" i="2"/>
  <c r="J190" i="2" s="1"/>
  <c r="N190" i="6" s="1"/>
  <c r="F189" i="2"/>
  <c r="J189" i="2" s="1"/>
  <c r="N189" i="6" s="1"/>
  <c r="F188" i="2"/>
  <c r="J188" i="2" s="1"/>
  <c r="N188" i="6" s="1"/>
  <c r="F187" i="2"/>
  <c r="J187" i="2" s="1"/>
  <c r="N187" i="6" s="1"/>
  <c r="F186" i="2"/>
  <c r="J186" i="2" s="1"/>
  <c r="N186" i="6" s="1"/>
  <c r="F185" i="2"/>
  <c r="J185" i="2" s="1"/>
  <c r="N185" i="6" s="1"/>
  <c r="F184" i="2"/>
  <c r="J184" i="2" s="1"/>
  <c r="N184" i="6" s="1"/>
  <c r="F183" i="2"/>
  <c r="J183" i="2" s="1"/>
  <c r="N183" i="6" s="1"/>
  <c r="F182" i="2"/>
  <c r="J182" i="2" s="1"/>
  <c r="N182" i="6" s="1"/>
  <c r="F181" i="2"/>
  <c r="J181" i="2" s="1"/>
  <c r="N181" i="6" s="1"/>
  <c r="F180" i="2"/>
  <c r="J180" i="2" s="1"/>
  <c r="N180" i="6" s="1"/>
  <c r="F179" i="2"/>
  <c r="J179" i="2" s="1"/>
  <c r="N179" i="6" s="1"/>
  <c r="F178" i="2"/>
  <c r="J178" i="2" s="1"/>
  <c r="N178" i="6" s="1"/>
  <c r="F177" i="2"/>
  <c r="J177" i="2" s="1"/>
  <c r="N177" i="6" s="1"/>
  <c r="F176" i="2"/>
  <c r="J176" i="2" s="1"/>
  <c r="N176" i="6" s="1"/>
  <c r="F175" i="2"/>
  <c r="J175" i="2" s="1"/>
  <c r="N175" i="6" s="1"/>
  <c r="F174" i="2"/>
  <c r="J174" i="2" s="1"/>
  <c r="N174" i="6" s="1"/>
  <c r="F173" i="2"/>
  <c r="J173" i="2" s="1"/>
  <c r="N173" i="6" s="1"/>
  <c r="F172" i="2"/>
  <c r="J172" i="2" s="1"/>
  <c r="N172" i="6" s="1"/>
  <c r="F171" i="2"/>
  <c r="J171" i="2" s="1"/>
  <c r="N171" i="6" s="1"/>
  <c r="F170" i="2"/>
  <c r="J170" i="2" s="1"/>
  <c r="N170" i="6" s="1"/>
  <c r="F169" i="2"/>
  <c r="J169" i="2" s="1"/>
  <c r="N169" i="6" s="1"/>
  <c r="F168" i="2"/>
  <c r="J168" i="2" s="1"/>
  <c r="N168" i="6" s="1"/>
  <c r="F167" i="2"/>
  <c r="J167" i="2" s="1"/>
  <c r="N167" i="6" s="1"/>
  <c r="F166" i="2"/>
  <c r="J166" i="2" s="1"/>
  <c r="N166" i="6" s="1"/>
  <c r="F165" i="2"/>
  <c r="J165" i="2" s="1"/>
  <c r="N165" i="6" s="1"/>
  <c r="F164" i="2"/>
  <c r="J164" i="2" s="1"/>
  <c r="N164" i="6" s="1"/>
  <c r="F163" i="2"/>
  <c r="J163" i="2" s="1"/>
  <c r="N163" i="6" s="1"/>
  <c r="F162" i="2"/>
  <c r="J162" i="2" s="1"/>
  <c r="N162" i="6" s="1"/>
  <c r="F161" i="2"/>
  <c r="J161" i="2" s="1"/>
  <c r="N161" i="6" s="1"/>
  <c r="F160" i="2"/>
  <c r="J160" i="2" s="1"/>
  <c r="N160" i="6" s="1"/>
  <c r="F159" i="2"/>
  <c r="J159" i="2" s="1"/>
  <c r="N159" i="6" s="1"/>
  <c r="F158" i="2"/>
  <c r="J158" i="2" s="1"/>
  <c r="N158" i="6" s="1"/>
  <c r="F157" i="2"/>
  <c r="J157" i="2" s="1"/>
  <c r="N157" i="6" s="1"/>
  <c r="F156" i="2"/>
  <c r="J156" i="2" s="1"/>
  <c r="N156" i="6" s="1"/>
  <c r="F155" i="2"/>
  <c r="J155" i="2" s="1"/>
  <c r="N155" i="6" s="1"/>
  <c r="F154" i="2"/>
  <c r="J154" i="2" s="1"/>
  <c r="N154" i="6" s="1"/>
  <c r="F153" i="2"/>
  <c r="J153" i="2" s="1"/>
  <c r="N153" i="6" s="1"/>
  <c r="F152" i="2"/>
  <c r="J152" i="2" s="1"/>
  <c r="N152" i="6" s="1"/>
  <c r="F151" i="2"/>
  <c r="J151" i="2" s="1"/>
  <c r="N151" i="6" s="1"/>
  <c r="F150" i="2"/>
  <c r="J150" i="2" s="1"/>
  <c r="N150" i="6" s="1"/>
  <c r="F149" i="2"/>
  <c r="J149" i="2" s="1"/>
  <c r="N149" i="6" s="1"/>
  <c r="F148" i="2"/>
  <c r="J148" i="2" s="1"/>
  <c r="N148" i="6" s="1"/>
  <c r="F147" i="2"/>
  <c r="J147" i="2" s="1"/>
  <c r="N147" i="6" s="1"/>
  <c r="F146" i="2"/>
  <c r="J146" i="2" s="1"/>
  <c r="N146" i="6" s="1"/>
  <c r="F145" i="2"/>
  <c r="J145" i="2" s="1"/>
  <c r="N145" i="6" s="1"/>
  <c r="F144" i="2"/>
  <c r="J144" i="2" s="1"/>
  <c r="N144" i="6" s="1"/>
  <c r="F143" i="2"/>
  <c r="J143" i="2" s="1"/>
  <c r="N143" i="6" s="1"/>
  <c r="F142" i="2"/>
  <c r="J142" i="2" s="1"/>
  <c r="N142" i="6" s="1"/>
  <c r="F141" i="2"/>
  <c r="J141" i="2" s="1"/>
  <c r="N141" i="6" s="1"/>
  <c r="F140" i="2"/>
  <c r="J140" i="2" s="1"/>
  <c r="N140" i="6" s="1"/>
  <c r="F139" i="2"/>
  <c r="J139" i="2" s="1"/>
  <c r="N139" i="6" s="1"/>
  <c r="F138" i="2"/>
  <c r="J138" i="2" s="1"/>
  <c r="N138" i="6" s="1"/>
  <c r="F137" i="2"/>
  <c r="J137" i="2" s="1"/>
  <c r="N137" i="6" s="1"/>
  <c r="F136" i="2"/>
  <c r="J136" i="2" s="1"/>
  <c r="N136" i="6" s="1"/>
  <c r="F135" i="2"/>
  <c r="J135" i="2" s="1"/>
  <c r="N135" i="6" s="1"/>
  <c r="F134" i="2"/>
  <c r="J134" i="2" s="1"/>
  <c r="N134" i="6" s="1"/>
  <c r="F133" i="2"/>
  <c r="J133" i="2" s="1"/>
  <c r="N133" i="6" s="1"/>
  <c r="F132" i="2"/>
  <c r="J132" i="2" s="1"/>
  <c r="N132" i="6" s="1"/>
  <c r="F131" i="2"/>
  <c r="J131" i="2" s="1"/>
  <c r="N131" i="6" s="1"/>
  <c r="F130" i="2"/>
  <c r="J130" i="2" s="1"/>
  <c r="N130" i="6" s="1"/>
  <c r="F129" i="2"/>
  <c r="J129" i="2" s="1"/>
  <c r="N129" i="6" s="1"/>
  <c r="F128" i="2"/>
  <c r="J128" i="2" s="1"/>
  <c r="N128" i="6" s="1"/>
  <c r="F127" i="2"/>
  <c r="J127" i="2" s="1"/>
  <c r="N127" i="6" s="1"/>
  <c r="F126" i="2"/>
  <c r="J126" i="2" s="1"/>
  <c r="N126" i="6" s="1"/>
  <c r="F125" i="2"/>
  <c r="J125" i="2" s="1"/>
  <c r="N125" i="6" s="1"/>
  <c r="F124" i="2"/>
  <c r="J124" i="2" s="1"/>
  <c r="N124" i="6" s="1"/>
  <c r="F123" i="2"/>
  <c r="J123" i="2" s="1"/>
  <c r="N123" i="6" s="1"/>
  <c r="F122" i="2"/>
  <c r="J122" i="2" s="1"/>
  <c r="N122" i="6" s="1"/>
  <c r="F121" i="2"/>
  <c r="J121" i="2" s="1"/>
  <c r="N121" i="6" s="1"/>
  <c r="F120" i="2"/>
  <c r="J120" i="2" s="1"/>
  <c r="N120" i="6" s="1"/>
  <c r="F119" i="2"/>
  <c r="J119" i="2" s="1"/>
  <c r="N119" i="6" s="1"/>
  <c r="F118" i="2"/>
  <c r="J118" i="2" s="1"/>
  <c r="N118" i="6" s="1"/>
  <c r="F117" i="2"/>
  <c r="J117" i="2" s="1"/>
  <c r="N117" i="6" s="1"/>
  <c r="F116" i="2"/>
  <c r="J116" i="2" s="1"/>
  <c r="N116" i="6" s="1"/>
  <c r="F115" i="2"/>
  <c r="J115" i="2" s="1"/>
  <c r="N115" i="6" s="1"/>
  <c r="F114" i="2"/>
  <c r="J114" i="2" s="1"/>
  <c r="N114" i="6" s="1"/>
  <c r="F113" i="2"/>
  <c r="J113" i="2" s="1"/>
  <c r="N113" i="6" s="1"/>
  <c r="F112" i="2"/>
  <c r="J112" i="2" s="1"/>
  <c r="N112" i="6" s="1"/>
  <c r="F111" i="2"/>
  <c r="J111" i="2" s="1"/>
  <c r="N111" i="6" s="1"/>
  <c r="F110" i="2"/>
  <c r="J110" i="2" s="1"/>
  <c r="N110" i="6" s="1"/>
  <c r="F109" i="2"/>
  <c r="J109" i="2" s="1"/>
  <c r="N109" i="6" s="1"/>
  <c r="F108" i="2"/>
  <c r="J108" i="2" s="1"/>
  <c r="N108" i="6" s="1"/>
  <c r="F107" i="2"/>
  <c r="J107" i="2" s="1"/>
  <c r="N107" i="6" s="1"/>
  <c r="F106" i="2"/>
  <c r="J106" i="2" s="1"/>
  <c r="N106" i="6" s="1"/>
  <c r="F105" i="2"/>
  <c r="J105" i="2" s="1"/>
  <c r="N105" i="6" s="1"/>
  <c r="F104" i="2"/>
  <c r="J104" i="2" s="1"/>
  <c r="N104" i="6" s="1"/>
  <c r="F103" i="2"/>
  <c r="J103" i="2" s="1"/>
  <c r="N103" i="6" s="1"/>
  <c r="F102" i="2"/>
  <c r="J102" i="2" s="1"/>
  <c r="N102" i="6" s="1"/>
  <c r="F101" i="2"/>
  <c r="J101" i="2" s="1"/>
  <c r="N101" i="6" s="1"/>
  <c r="F100" i="2"/>
  <c r="J100" i="2" s="1"/>
  <c r="N100" i="6" s="1"/>
  <c r="F99" i="2"/>
  <c r="J99" i="2" s="1"/>
  <c r="N99" i="6" s="1"/>
  <c r="F98" i="2"/>
  <c r="J98" i="2" s="1"/>
  <c r="N98" i="6" s="1"/>
  <c r="F97" i="2"/>
  <c r="J97" i="2" s="1"/>
  <c r="N97" i="6" s="1"/>
  <c r="F96" i="2"/>
  <c r="J96" i="2" s="1"/>
  <c r="N96" i="6" s="1"/>
  <c r="F95" i="2"/>
  <c r="J95" i="2" s="1"/>
  <c r="N95" i="6" s="1"/>
  <c r="F94" i="2"/>
  <c r="J94" i="2" s="1"/>
  <c r="N94" i="6" s="1"/>
  <c r="F93" i="2"/>
  <c r="J93" i="2" s="1"/>
  <c r="N93" i="6" s="1"/>
  <c r="F92" i="2"/>
  <c r="J92" i="2" s="1"/>
  <c r="N92" i="6" s="1"/>
  <c r="F91" i="2"/>
  <c r="J91" i="2" s="1"/>
  <c r="N91" i="6" s="1"/>
  <c r="F90" i="2"/>
  <c r="J90" i="2" s="1"/>
  <c r="N90" i="6" s="1"/>
  <c r="F89" i="2"/>
  <c r="J89" i="2" s="1"/>
  <c r="N89" i="6" s="1"/>
  <c r="F88" i="2"/>
  <c r="J88" i="2" s="1"/>
  <c r="N88" i="6" s="1"/>
  <c r="F87" i="2"/>
  <c r="J87" i="2" s="1"/>
  <c r="N87" i="6" s="1"/>
  <c r="F86" i="2"/>
  <c r="J86" i="2" s="1"/>
  <c r="N86" i="6" s="1"/>
  <c r="F85" i="2"/>
  <c r="J85" i="2" s="1"/>
  <c r="N85" i="6" s="1"/>
  <c r="F84" i="2"/>
  <c r="J84" i="2" s="1"/>
  <c r="N84" i="6" s="1"/>
  <c r="F83" i="2"/>
  <c r="J83" i="2" s="1"/>
  <c r="N83" i="6" s="1"/>
  <c r="F82" i="2"/>
  <c r="J82" i="2" s="1"/>
  <c r="N82" i="6" s="1"/>
  <c r="F81" i="2"/>
  <c r="J81" i="2" s="1"/>
  <c r="N81" i="6" s="1"/>
  <c r="F80" i="2"/>
  <c r="J80" i="2" s="1"/>
  <c r="N80" i="6" s="1"/>
  <c r="F79" i="2"/>
  <c r="J79" i="2" s="1"/>
  <c r="N79" i="6" s="1"/>
  <c r="F78" i="2"/>
  <c r="J78" i="2" s="1"/>
  <c r="N78" i="6" s="1"/>
  <c r="F77" i="2"/>
  <c r="J77" i="2" s="1"/>
  <c r="N77" i="6" s="1"/>
  <c r="F76" i="2"/>
  <c r="J76" i="2" s="1"/>
  <c r="N76" i="6" s="1"/>
  <c r="F75" i="2"/>
  <c r="J75" i="2" s="1"/>
  <c r="N75" i="6" s="1"/>
  <c r="F74" i="2"/>
  <c r="J74" i="2" s="1"/>
  <c r="N74" i="6" s="1"/>
  <c r="F73" i="2"/>
  <c r="J73" i="2" s="1"/>
  <c r="N73" i="6" s="1"/>
  <c r="F72" i="2"/>
  <c r="J72" i="2" s="1"/>
  <c r="N72" i="6" s="1"/>
  <c r="F71" i="2"/>
  <c r="J71" i="2" s="1"/>
  <c r="N71" i="6" s="1"/>
  <c r="F70" i="2"/>
  <c r="J70" i="2" s="1"/>
  <c r="N70" i="6" s="1"/>
  <c r="F69" i="2"/>
  <c r="J69" i="2" s="1"/>
  <c r="N69" i="6" s="1"/>
  <c r="F68" i="2"/>
  <c r="J68" i="2" s="1"/>
  <c r="N68" i="6" s="1"/>
  <c r="F67" i="2"/>
  <c r="J67" i="2" s="1"/>
  <c r="N67" i="6" s="1"/>
  <c r="F66" i="2"/>
  <c r="J66" i="2" s="1"/>
  <c r="N66" i="6" s="1"/>
  <c r="F65" i="2"/>
  <c r="J65" i="2" s="1"/>
  <c r="N65" i="6" s="1"/>
  <c r="F64" i="2"/>
  <c r="J64" i="2" s="1"/>
  <c r="N64" i="6" s="1"/>
  <c r="F63" i="2"/>
  <c r="J63" i="2" s="1"/>
  <c r="N63" i="6" s="1"/>
  <c r="F62" i="2"/>
  <c r="J62" i="2" s="1"/>
  <c r="N62" i="6" s="1"/>
  <c r="F61" i="2"/>
  <c r="J61" i="2" s="1"/>
  <c r="N61" i="6" s="1"/>
  <c r="F60" i="2"/>
  <c r="J60" i="2" s="1"/>
  <c r="N60" i="6" s="1"/>
  <c r="F59" i="2"/>
  <c r="J59" i="2" s="1"/>
  <c r="N59" i="6" s="1"/>
  <c r="F58" i="2"/>
  <c r="J58" i="2" s="1"/>
  <c r="N58" i="6" s="1"/>
  <c r="F57" i="2"/>
  <c r="J57" i="2" s="1"/>
  <c r="N57" i="6" s="1"/>
  <c r="F56" i="2"/>
  <c r="J56" i="2" s="1"/>
  <c r="N56" i="6" s="1"/>
  <c r="F55" i="2"/>
  <c r="J55" i="2" s="1"/>
  <c r="N55" i="6" s="1"/>
  <c r="F54" i="2"/>
  <c r="J54" i="2" s="1"/>
  <c r="N54" i="6" s="1"/>
  <c r="F53" i="2"/>
  <c r="J53" i="2" s="1"/>
  <c r="N53" i="6" s="1"/>
  <c r="F52" i="2"/>
  <c r="J52" i="2" s="1"/>
  <c r="N52" i="6" s="1"/>
  <c r="F51" i="2"/>
  <c r="J51" i="2" s="1"/>
  <c r="N51" i="6" s="1"/>
  <c r="F50" i="2"/>
  <c r="J50" i="2" s="1"/>
  <c r="N50" i="6" s="1"/>
  <c r="F49" i="2"/>
  <c r="J49" i="2" s="1"/>
  <c r="N49" i="6" s="1"/>
  <c r="F48" i="2"/>
  <c r="J48" i="2" s="1"/>
  <c r="N48" i="6" s="1"/>
  <c r="F47" i="2"/>
  <c r="J47" i="2" s="1"/>
  <c r="N47" i="6" s="1"/>
  <c r="F46" i="2"/>
  <c r="J46" i="2" s="1"/>
  <c r="N46" i="6" s="1"/>
  <c r="F45" i="2"/>
  <c r="J45" i="2" s="1"/>
  <c r="N45" i="6" s="1"/>
  <c r="F44" i="2"/>
  <c r="J44" i="2" s="1"/>
  <c r="N44" i="6" s="1"/>
  <c r="F43" i="2"/>
  <c r="J43" i="2" s="1"/>
  <c r="N43" i="6" s="1"/>
  <c r="F42" i="2"/>
  <c r="J42" i="2" s="1"/>
  <c r="N42" i="6" s="1"/>
  <c r="F41" i="2"/>
  <c r="J41" i="2" s="1"/>
  <c r="N41" i="6" s="1"/>
  <c r="F40" i="2"/>
  <c r="J40" i="2" s="1"/>
  <c r="N40" i="6" s="1"/>
  <c r="F39" i="2"/>
  <c r="J39" i="2" s="1"/>
  <c r="N39" i="6" s="1"/>
  <c r="F38" i="2"/>
  <c r="J38" i="2" s="1"/>
  <c r="N38" i="6" s="1"/>
  <c r="F37" i="2"/>
  <c r="J37" i="2" s="1"/>
  <c r="N37" i="6" s="1"/>
  <c r="F36" i="2"/>
  <c r="J36" i="2" s="1"/>
  <c r="N36" i="6" s="1"/>
  <c r="F35" i="2"/>
  <c r="J35" i="2" s="1"/>
  <c r="N35" i="6" s="1"/>
  <c r="F34" i="2"/>
  <c r="J34" i="2" s="1"/>
  <c r="N34" i="6" s="1"/>
  <c r="F33" i="2"/>
  <c r="J33" i="2" s="1"/>
  <c r="N33" i="6" s="1"/>
  <c r="F32" i="2"/>
  <c r="J32" i="2" s="1"/>
  <c r="N32" i="6" s="1"/>
  <c r="F31" i="2"/>
  <c r="J31" i="2" s="1"/>
  <c r="N31" i="6" s="1"/>
  <c r="F30" i="2"/>
  <c r="J30" i="2" s="1"/>
  <c r="N30" i="6" s="1"/>
  <c r="F29" i="2"/>
  <c r="J29" i="2" s="1"/>
  <c r="N29" i="6" s="1"/>
  <c r="F28" i="2"/>
  <c r="J28" i="2" s="1"/>
  <c r="N28" i="6" s="1"/>
  <c r="F27" i="2"/>
  <c r="J27" i="2" s="1"/>
  <c r="N27" i="6" s="1"/>
  <c r="F26" i="2"/>
  <c r="J26" i="2" s="1"/>
  <c r="N26" i="6" s="1"/>
  <c r="F25" i="2"/>
  <c r="J25" i="2" s="1"/>
  <c r="N25" i="6" s="1"/>
  <c r="F24" i="2"/>
  <c r="J24" i="2" s="1"/>
  <c r="N24" i="6" s="1"/>
  <c r="F23" i="2"/>
  <c r="J23" i="2" s="1"/>
  <c r="N23" i="6" s="1"/>
  <c r="F22" i="2"/>
  <c r="J22" i="2" s="1"/>
  <c r="N22" i="6" s="1"/>
  <c r="F21" i="2"/>
  <c r="J21" i="2" s="1"/>
  <c r="N21" i="6" s="1"/>
  <c r="F20" i="2"/>
  <c r="J20" i="2" s="1"/>
  <c r="N20" i="6" s="1"/>
  <c r="F19" i="2"/>
  <c r="J19" i="2" s="1"/>
  <c r="N19" i="6" s="1"/>
  <c r="F18" i="2"/>
  <c r="J18" i="2" s="1"/>
  <c r="N18" i="6" s="1"/>
  <c r="F17" i="2"/>
  <c r="J17" i="2" s="1"/>
  <c r="N17" i="6" s="1"/>
  <c r="F16" i="2"/>
  <c r="J16" i="2" s="1"/>
  <c r="N16" i="6" s="1"/>
  <c r="F15" i="2"/>
  <c r="J15" i="2" s="1"/>
  <c r="N15" i="6" s="1"/>
  <c r="F14" i="2"/>
  <c r="J14" i="2" s="1"/>
  <c r="N14" i="6" s="1"/>
  <c r="F13" i="2"/>
  <c r="J13" i="2" s="1"/>
  <c r="N13" i="6" s="1"/>
  <c r="F12" i="2"/>
  <c r="J12" i="2" s="1"/>
  <c r="N12" i="6" s="1"/>
  <c r="F11" i="2"/>
  <c r="J11" i="2" s="1"/>
  <c r="N11" i="6" s="1"/>
  <c r="F10" i="2"/>
  <c r="J10" i="2" s="1"/>
  <c r="N10" i="6" s="1"/>
  <c r="F9" i="2"/>
  <c r="J9" i="2" s="1"/>
  <c r="N9" i="6" s="1"/>
  <c r="F8" i="2"/>
  <c r="J8" i="2" s="1"/>
  <c r="N8" i="6" s="1"/>
  <c r="F7" i="2"/>
  <c r="J7" i="2" s="1"/>
  <c r="N7" i="6" s="1"/>
  <c r="F6" i="2"/>
  <c r="J6" i="2" s="1"/>
  <c r="N6" i="6" s="1"/>
  <c r="F5" i="2"/>
  <c r="J5" i="2" s="1"/>
  <c r="N5" i="6" s="1"/>
  <c r="F4" i="2"/>
  <c r="J4" i="2" s="1"/>
  <c r="N4" i="6" s="1"/>
  <c r="F3" i="2"/>
  <c r="N3" i="6" s="1"/>
  <c r="J2" i="2"/>
  <c r="N2" i="6" s="1"/>
  <c r="F2" i="2"/>
  <c r="O3" i="6" l="1"/>
  <c r="O4" i="6"/>
  <c r="D6" i="6"/>
  <c r="H3" i="4"/>
  <c r="R3" i="6"/>
  <c r="F2" i="4"/>
  <c r="F4" i="4"/>
  <c r="J4" i="4" s="1"/>
  <c r="P4" i="6" s="1"/>
  <c r="F8" i="4"/>
  <c r="J8" i="4" s="1"/>
  <c r="P8" i="6" s="1"/>
  <c r="F12" i="4"/>
  <c r="J12" i="4" s="1"/>
  <c r="P12" i="6" s="1"/>
  <c r="F16" i="4"/>
  <c r="J16" i="4" s="1"/>
  <c r="P16" i="6" s="1"/>
  <c r="F20" i="4"/>
  <c r="J20" i="4" s="1"/>
  <c r="P20" i="6" s="1"/>
  <c r="F24" i="4"/>
  <c r="J24" i="4" s="1"/>
  <c r="P24" i="6" s="1"/>
  <c r="F28" i="4"/>
  <c r="J28" i="4" s="1"/>
  <c r="P28" i="6" s="1"/>
  <c r="F32" i="4"/>
  <c r="J32" i="4" s="1"/>
  <c r="P32" i="6" s="1"/>
  <c r="F39" i="4"/>
  <c r="J39" i="4" s="1"/>
  <c r="P39" i="6" s="1"/>
  <c r="F47" i="4"/>
  <c r="J47" i="4" s="1"/>
  <c r="P47" i="6" s="1"/>
  <c r="F55" i="4"/>
  <c r="J55" i="4" s="1"/>
  <c r="P55" i="6" s="1"/>
  <c r="F63" i="4"/>
  <c r="J63" i="4" s="1"/>
  <c r="P63" i="6" s="1"/>
  <c r="F71" i="4"/>
  <c r="J71" i="4" s="1"/>
  <c r="P71" i="6" s="1"/>
  <c r="F79" i="4"/>
  <c r="J79" i="4" s="1"/>
  <c r="P79" i="6" s="1"/>
  <c r="F87" i="4"/>
  <c r="J87" i="4" s="1"/>
  <c r="P87" i="6" s="1"/>
  <c r="F95" i="4"/>
  <c r="J95" i="4" s="1"/>
  <c r="P95" i="6" s="1"/>
  <c r="F103" i="4"/>
  <c r="J103" i="4" s="1"/>
  <c r="P103" i="6" s="1"/>
  <c r="F111" i="4"/>
  <c r="J111" i="4" s="1"/>
  <c r="P111" i="6" s="1"/>
  <c r="F119" i="4"/>
  <c r="J119" i="4" s="1"/>
  <c r="P119" i="6" s="1"/>
  <c r="F127" i="4"/>
  <c r="J127" i="4" s="1"/>
  <c r="P127" i="6" s="1"/>
  <c r="F135" i="4"/>
  <c r="J135" i="4" s="1"/>
  <c r="P135" i="6" s="1"/>
  <c r="F143" i="4"/>
  <c r="J143" i="4" s="1"/>
  <c r="P143" i="6" s="1"/>
  <c r="F151" i="4"/>
  <c r="J151" i="4" s="1"/>
  <c r="P151" i="6" s="1"/>
  <c r="F159" i="4"/>
  <c r="J159" i="4" s="1"/>
  <c r="P159" i="6" s="1"/>
  <c r="F167" i="4"/>
  <c r="J167" i="4" s="1"/>
  <c r="P167" i="6" s="1"/>
  <c r="F175" i="4"/>
  <c r="J175" i="4" s="1"/>
  <c r="P175" i="6" s="1"/>
  <c r="F183" i="4"/>
  <c r="J183" i="4" s="1"/>
  <c r="P183" i="6" s="1"/>
  <c r="F191" i="4"/>
  <c r="F202" i="4"/>
  <c r="J202" i="4" s="1"/>
  <c r="P202" i="6" s="1"/>
  <c r="F200" i="4"/>
  <c r="J200" i="4" s="1"/>
  <c r="P200" i="6" s="1"/>
  <c r="F198" i="4"/>
  <c r="J198" i="4" s="1"/>
  <c r="P198" i="6" s="1"/>
  <c r="F196" i="4"/>
  <c r="J196" i="4" s="1"/>
  <c r="P196" i="6" s="1"/>
  <c r="F194" i="4"/>
  <c r="J194" i="4" s="1"/>
  <c r="P194" i="6" s="1"/>
  <c r="F192" i="4"/>
  <c r="J192" i="4" s="1"/>
  <c r="P192" i="6" s="1"/>
  <c r="F190" i="4"/>
  <c r="J190" i="4" s="1"/>
  <c r="P190" i="6" s="1"/>
  <c r="F188" i="4"/>
  <c r="J188" i="4" s="1"/>
  <c r="P188" i="6" s="1"/>
  <c r="F186" i="4"/>
  <c r="J186" i="4" s="1"/>
  <c r="P186" i="6" s="1"/>
  <c r="F184" i="4"/>
  <c r="J184" i="4" s="1"/>
  <c r="P184" i="6" s="1"/>
  <c r="F182" i="4"/>
  <c r="J182" i="4" s="1"/>
  <c r="P182" i="6" s="1"/>
  <c r="F180" i="4"/>
  <c r="J180" i="4" s="1"/>
  <c r="P180" i="6" s="1"/>
  <c r="F178" i="4"/>
  <c r="J178" i="4" s="1"/>
  <c r="P178" i="6" s="1"/>
  <c r="F176" i="4"/>
  <c r="J176" i="4" s="1"/>
  <c r="P176" i="6" s="1"/>
  <c r="F174" i="4"/>
  <c r="J174" i="4" s="1"/>
  <c r="P174" i="6" s="1"/>
  <c r="F172" i="4"/>
  <c r="J172" i="4" s="1"/>
  <c r="P172" i="6" s="1"/>
  <c r="F170" i="4"/>
  <c r="J170" i="4" s="1"/>
  <c r="P170" i="6" s="1"/>
  <c r="F168" i="4"/>
  <c r="J168" i="4" s="1"/>
  <c r="P168" i="6" s="1"/>
  <c r="F166" i="4"/>
  <c r="J166" i="4" s="1"/>
  <c r="P166" i="6" s="1"/>
  <c r="F164" i="4"/>
  <c r="J164" i="4" s="1"/>
  <c r="P164" i="6" s="1"/>
  <c r="F162" i="4"/>
  <c r="J162" i="4" s="1"/>
  <c r="P162" i="6" s="1"/>
  <c r="F160" i="4"/>
  <c r="J160" i="4" s="1"/>
  <c r="P160" i="6" s="1"/>
  <c r="F158" i="4"/>
  <c r="J158" i="4" s="1"/>
  <c r="P158" i="6" s="1"/>
  <c r="F156" i="4"/>
  <c r="J156" i="4" s="1"/>
  <c r="P156" i="6" s="1"/>
  <c r="F154" i="4"/>
  <c r="J154" i="4" s="1"/>
  <c r="P154" i="6" s="1"/>
  <c r="F152" i="4"/>
  <c r="J152" i="4" s="1"/>
  <c r="P152" i="6" s="1"/>
  <c r="F150" i="4"/>
  <c r="J150" i="4" s="1"/>
  <c r="P150" i="6" s="1"/>
  <c r="F148" i="4"/>
  <c r="J148" i="4" s="1"/>
  <c r="P148" i="6" s="1"/>
  <c r="F146" i="4"/>
  <c r="J146" i="4" s="1"/>
  <c r="P146" i="6" s="1"/>
  <c r="F144" i="4"/>
  <c r="J144" i="4" s="1"/>
  <c r="P144" i="6" s="1"/>
  <c r="F142" i="4"/>
  <c r="J142" i="4" s="1"/>
  <c r="P142" i="6" s="1"/>
  <c r="F140" i="4"/>
  <c r="J140" i="4" s="1"/>
  <c r="P140" i="6" s="1"/>
  <c r="F138" i="4"/>
  <c r="J138" i="4" s="1"/>
  <c r="P138" i="6" s="1"/>
  <c r="F136" i="4"/>
  <c r="J136" i="4" s="1"/>
  <c r="P136" i="6" s="1"/>
  <c r="F134" i="4"/>
  <c r="J134" i="4" s="1"/>
  <c r="P134" i="6" s="1"/>
  <c r="F132" i="4"/>
  <c r="J132" i="4" s="1"/>
  <c r="P132" i="6" s="1"/>
  <c r="F130" i="4"/>
  <c r="J130" i="4" s="1"/>
  <c r="P130" i="6" s="1"/>
  <c r="F128" i="4"/>
  <c r="J128" i="4" s="1"/>
  <c r="P128" i="6" s="1"/>
  <c r="F126" i="4"/>
  <c r="J126" i="4" s="1"/>
  <c r="P126" i="6" s="1"/>
  <c r="F124" i="4"/>
  <c r="J124" i="4" s="1"/>
  <c r="P124" i="6" s="1"/>
  <c r="F122" i="4"/>
  <c r="J122" i="4" s="1"/>
  <c r="P122" i="6" s="1"/>
  <c r="F120" i="4"/>
  <c r="J120" i="4" s="1"/>
  <c r="P120" i="6" s="1"/>
  <c r="F118" i="4"/>
  <c r="J118" i="4" s="1"/>
  <c r="P118" i="6" s="1"/>
  <c r="F116" i="4"/>
  <c r="J116" i="4" s="1"/>
  <c r="P116" i="6" s="1"/>
  <c r="F114" i="4"/>
  <c r="J114" i="4" s="1"/>
  <c r="P114" i="6" s="1"/>
  <c r="F112" i="4"/>
  <c r="J112" i="4" s="1"/>
  <c r="P112" i="6" s="1"/>
  <c r="F110" i="4"/>
  <c r="J110" i="4" s="1"/>
  <c r="P110" i="6" s="1"/>
  <c r="F108" i="4"/>
  <c r="J108" i="4" s="1"/>
  <c r="P108" i="6" s="1"/>
  <c r="F106" i="4"/>
  <c r="J106" i="4" s="1"/>
  <c r="P106" i="6" s="1"/>
  <c r="F104" i="4"/>
  <c r="J104" i="4" s="1"/>
  <c r="P104" i="6" s="1"/>
  <c r="F102" i="4"/>
  <c r="J102" i="4" s="1"/>
  <c r="P102" i="6" s="1"/>
  <c r="F100" i="4"/>
  <c r="J100" i="4" s="1"/>
  <c r="P100" i="6" s="1"/>
  <c r="F98" i="4"/>
  <c r="J98" i="4" s="1"/>
  <c r="P98" i="6" s="1"/>
  <c r="F96" i="4"/>
  <c r="J96" i="4" s="1"/>
  <c r="P96" i="6" s="1"/>
  <c r="F94" i="4"/>
  <c r="J94" i="4" s="1"/>
  <c r="P94" i="6" s="1"/>
  <c r="F92" i="4"/>
  <c r="J92" i="4" s="1"/>
  <c r="P92" i="6" s="1"/>
  <c r="F90" i="4"/>
  <c r="J90" i="4" s="1"/>
  <c r="P90" i="6" s="1"/>
  <c r="F88" i="4"/>
  <c r="J88" i="4" s="1"/>
  <c r="P88" i="6" s="1"/>
  <c r="F86" i="4"/>
  <c r="J86" i="4" s="1"/>
  <c r="P86" i="6" s="1"/>
  <c r="F84" i="4"/>
  <c r="J84" i="4" s="1"/>
  <c r="P84" i="6" s="1"/>
  <c r="F82" i="4"/>
  <c r="J82" i="4" s="1"/>
  <c r="P82" i="6" s="1"/>
  <c r="F80" i="4"/>
  <c r="J80" i="4" s="1"/>
  <c r="P80" i="6" s="1"/>
  <c r="F78" i="4"/>
  <c r="J78" i="4" s="1"/>
  <c r="P78" i="6" s="1"/>
  <c r="F76" i="4"/>
  <c r="J76" i="4" s="1"/>
  <c r="P76" i="6" s="1"/>
  <c r="F74" i="4"/>
  <c r="J74" i="4" s="1"/>
  <c r="P74" i="6" s="1"/>
  <c r="F72" i="4"/>
  <c r="J72" i="4" s="1"/>
  <c r="P72" i="6" s="1"/>
  <c r="F70" i="4"/>
  <c r="J70" i="4" s="1"/>
  <c r="P70" i="6" s="1"/>
  <c r="F68" i="4"/>
  <c r="J68" i="4" s="1"/>
  <c r="P68" i="6" s="1"/>
  <c r="F66" i="4"/>
  <c r="J66" i="4" s="1"/>
  <c r="P66" i="6" s="1"/>
  <c r="F64" i="4"/>
  <c r="J64" i="4" s="1"/>
  <c r="P64" i="6" s="1"/>
  <c r="F62" i="4"/>
  <c r="J62" i="4" s="1"/>
  <c r="P62" i="6" s="1"/>
  <c r="F60" i="4"/>
  <c r="J60" i="4" s="1"/>
  <c r="P60" i="6" s="1"/>
  <c r="F58" i="4"/>
  <c r="J58" i="4" s="1"/>
  <c r="P58" i="6" s="1"/>
  <c r="F56" i="4"/>
  <c r="J56" i="4" s="1"/>
  <c r="P56" i="6" s="1"/>
  <c r="F54" i="4"/>
  <c r="J54" i="4" s="1"/>
  <c r="P54" i="6" s="1"/>
  <c r="F52" i="4"/>
  <c r="J52" i="4" s="1"/>
  <c r="P52" i="6" s="1"/>
  <c r="F50" i="4"/>
  <c r="J50" i="4" s="1"/>
  <c r="P50" i="6" s="1"/>
  <c r="F48" i="4"/>
  <c r="J48" i="4" s="1"/>
  <c r="P48" i="6" s="1"/>
  <c r="F46" i="4"/>
  <c r="J46" i="4" s="1"/>
  <c r="P46" i="6" s="1"/>
  <c r="F44" i="4"/>
  <c r="J44" i="4" s="1"/>
  <c r="P44" i="6" s="1"/>
  <c r="F42" i="4"/>
  <c r="J42" i="4" s="1"/>
  <c r="P42" i="6" s="1"/>
  <c r="F40" i="4"/>
  <c r="J40" i="4" s="1"/>
  <c r="P40" i="6" s="1"/>
  <c r="F38" i="4"/>
  <c r="J38" i="4" s="1"/>
  <c r="P38" i="6" s="1"/>
  <c r="F36" i="4"/>
  <c r="J36" i="4" s="1"/>
  <c r="P36" i="6" s="1"/>
  <c r="F34" i="4"/>
  <c r="J34" i="4" s="1"/>
  <c r="P34" i="6" s="1"/>
  <c r="F3" i="4"/>
  <c r="J3" i="4" s="1"/>
  <c r="P3" i="6" s="1"/>
  <c r="F5" i="4"/>
  <c r="J5" i="4" s="1"/>
  <c r="P5" i="6" s="1"/>
  <c r="F7" i="4"/>
  <c r="J7" i="4" s="1"/>
  <c r="P7" i="6" s="1"/>
  <c r="F9" i="4"/>
  <c r="J9" i="4" s="1"/>
  <c r="P9" i="6" s="1"/>
  <c r="F11" i="4"/>
  <c r="J11" i="4" s="1"/>
  <c r="P11" i="6" s="1"/>
  <c r="F13" i="4"/>
  <c r="J13" i="4" s="1"/>
  <c r="P13" i="6" s="1"/>
  <c r="F15" i="4"/>
  <c r="J15" i="4" s="1"/>
  <c r="P15" i="6" s="1"/>
  <c r="F17" i="4"/>
  <c r="J17" i="4" s="1"/>
  <c r="P17" i="6" s="1"/>
  <c r="F19" i="4"/>
  <c r="J19" i="4" s="1"/>
  <c r="P19" i="6" s="1"/>
  <c r="F21" i="4"/>
  <c r="J21" i="4" s="1"/>
  <c r="P21" i="6" s="1"/>
  <c r="F23" i="4"/>
  <c r="J23" i="4" s="1"/>
  <c r="P23" i="6" s="1"/>
  <c r="F25" i="4"/>
  <c r="J25" i="4" s="1"/>
  <c r="P25" i="6" s="1"/>
  <c r="F27" i="4"/>
  <c r="J27" i="4" s="1"/>
  <c r="P27" i="6" s="1"/>
  <c r="F29" i="4"/>
  <c r="J29" i="4" s="1"/>
  <c r="P29" i="6" s="1"/>
  <c r="F31" i="4"/>
  <c r="J31" i="4" s="1"/>
  <c r="P31" i="6" s="1"/>
  <c r="F33" i="4"/>
  <c r="J33" i="4" s="1"/>
  <c r="P33" i="6" s="1"/>
  <c r="F37" i="4"/>
  <c r="J37" i="4" s="1"/>
  <c r="P37" i="6" s="1"/>
  <c r="F41" i="4"/>
  <c r="J41" i="4" s="1"/>
  <c r="P41" i="6" s="1"/>
  <c r="F45" i="4"/>
  <c r="J45" i="4" s="1"/>
  <c r="P45" i="6" s="1"/>
  <c r="F49" i="4"/>
  <c r="J49" i="4" s="1"/>
  <c r="P49" i="6" s="1"/>
  <c r="F53" i="4"/>
  <c r="J53" i="4" s="1"/>
  <c r="P53" i="6" s="1"/>
  <c r="F57" i="4"/>
  <c r="J57" i="4" s="1"/>
  <c r="P57" i="6" s="1"/>
  <c r="F61" i="4"/>
  <c r="J61" i="4" s="1"/>
  <c r="P61" i="6" s="1"/>
  <c r="F65" i="4"/>
  <c r="J65" i="4" s="1"/>
  <c r="P65" i="6" s="1"/>
  <c r="F69" i="4"/>
  <c r="J69" i="4" s="1"/>
  <c r="P69" i="6" s="1"/>
  <c r="F73" i="4"/>
  <c r="J73" i="4" s="1"/>
  <c r="P73" i="6" s="1"/>
  <c r="F77" i="4"/>
  <c r="J77" i="4" s="1"/>
  <c r="P77" i="6" s="1"/>
  <c r="F81" i="4"/>
  <c r="J81" i="4" s="1"/>
  <c r="P81" i="6" s="1"/>
  <c r="F85" i="4"/>
  <c r="J85" i="4" s="1"/>
  <c r="P85" i="6" s="1"/>
  <c r="F89" i="4"/>
  <c r="J89" i="4" s="1"/>
  <c r="P89" i="6" s="1"/>
  <c r="F93" i="4"/>
  <c r="J93" i="4" s="1"/>
  <c r="P93" i="6" s="1"/>
  <c r="F97" i="4"/>
  <c r="J97" i="4" s="1"/>
  <c r="P97" i="6" s="1"/>
  <c r="F101" i="4"/>
  <c r="J101" i="4" s="1"/>
  <c r="P101" i="6" s="1"/>
  <c r="F105" i="4"/>
  <c r="J105" i="4" s="1"/>
  <c r="P105" i="6" s="1"/>
  <c r="F109" i="4"/>
  <c r="J109" i="4" s="1"/>
  <c r="P109" i="6" s="1"/>
  <c r="F113" i="4"/>
  <c r="J113" i="4" s="1"/>
  <c r="P113" i="6" s="1"/>
  <c r="F117" i="4"/>
  <c r="J117" i="4" s="1"/>
  <c r="P117" i="6" s="1"/>
  <c r="F121" i="4"/>
  <c r="J121" i="4" s="1"/>
  <c r="P121" i="6" s="1"/>
  <c r="F125" i="4"/>
  <c r="J125" i="4" s="1"/>
  <c r="P125" i="6" s="1"/>
  <c r="F129" i="4"/>
  <c r="J129" i="4" s="1"/>
  <c r="P129" i="6" s="1"/>
  <c r="F133" i="4"/>
  <c r="J133" i="4" s="1"/>
  <c r="P133" i="6" s="1"/>
  <c r="F137" i="4"/>
  <c r="J137" i="4" s="1"/>
  <c r="P137" i="6" s="1"/>
  <c r="F141" i="4"/>
  <c r="J141" i="4" s="1"/>
  <c r="P141" i="6" s="1"/>
  <c r="F145" i="4"/>
  <c r="J145" i="4" s="1"/>
  <c r="P145" i="6" s="1"/>
  <c r="F149" i="4"/>
  <c r="J149" i="4" s="1"/>
  <c r="P149" i="6" s="1"/>
  <c r="F153" i="4"/>
  <c r="J153" i="4" s="1"/>
  <c r="P153" i="6" s="1"/>
  <c r="F157" i="4"/>
  <c r="J157" i="4" s="1"/>
  <c r="P157" i="6" s="1"/>
  <c r="F161" i="4"/>
  <c r="J161" i="4" s="1"/>
  <c r="P161" i="6" s="1"/>
  <c r="F165" i="4"/>
  <c r="J165" i="4" s="1"/>
  <c r="P165" i="6" s="1"/>
  <c r="F169" i="4"/>
  <c r="J169" i="4" s="1"/>
  <c r="P169" i="6" s="1"/>
  <c r="F173" i="4"/>
  <c r="J173" i="4" s="1"/>
  <c r="P173" i="6" s="1"/>
  <c r="F177" i="4"/>
  <c r="J177" i="4" s="1"/>
  <c r="P177" i="6" s="1"/>
  <c r="F181" i="4"/>
  <c r="J181" i="4" s="1"/>
  <c r="P181" i="6" s="1"/>
  <c r="F185" i="4"/>
  <c r="J185" i="4" s="1"/>
  <c r="P185" i="6" s="1"/>
  <c r="F189" i="4"/>
  <c r="J189" i="4" s="1"/>
  <c r="P189" i="6" s="1"/>
  <c r="F193" i="4"/>
  <c r="J193" i="4" s="1"/>
  <c r="P193" i="6" s="1"/>
  <c r="F197" i="4"/>
  <c r="F201" i="4"/>
  <c r="J201" i="4" s="1"/>
  <c r="P201" i="6" s="1"/>
  <c r="L3" i="5"/>
  <c r="J191" i="4"/>
  <c r="P191" i="6" s="1"/>
  <c r="J197" i="4"/>
  <c r="P197" i="6" s="1"/>
  <c r="M3" i="5" l="1"/>
  <c r="Y3" i="6"/>
  <c r="T4" i="6"/>
  <c r="L3" i="4"/>
  <c r="X3" i="6" s="1"/>
  <c r="N2" i="3"/>
  <c r="N2" i="2"/>
  <c r="W3" i="6" l="1"/>
  <c r="N3" i="5"/>
  <c r="AC3" i="6"/>
  <c r="M3" i="4"/>
  <c r="AB3" i="6" s="1"/>
  <c r="G2" i="2"/>
  <c r="B2" i="6" s="1"/>
  <c r="AD2" i="6"/>
  <c r="H3" i="2"/>
  <c r="R4" i="6" s="1"/>
  <c r="I3" i="5" l="1"/>
  <c r="M3" i="6" s="1"/>
  <c r="AG3" i="6"/>
  <c r="N3" i="4"/>
  <c r="F3" i="6"/>
  <c r="S4" i="6"/>
  <c r="I3" i="4" l="1"/>
  <c r="G8" i="4"/>
  <c r="AF3" i="6"/>
  <c r="AA3" i="6"/>
  <c r="E3" i="6"/>
  <c r="H4" i="5"/>
  <c r="L3" i="6"/>
  <c r="V3" i="6"/>
  <c r="AE3" i="6" l="1"/>
  <c r="K3" i="6"/>
  <c r="I4" i="6"/>
  <c r="L4" i="5"/>
  <c r="H4" i="4"/>
  <c r="Z3" i="6"/>
  <c r="G3" i="2"/>
  <c r="H4" i="6" l="1"/>
  <c r="H4" i="3"/>
  <c r="C3" i="6"/>
  <c r="Y4" i="6"/>
  <c r="M4" i="5"/>
  <c r="L4" i="4"/>
  <c r="X4" i="6" s="1"/>
  <c r="B3" i="6"/>
  <c r="AD3" i="6"/>
  <c r="L4" i="3" l="1"/>
  <c r="G4" i="6"/>
  <c r="AC4" i="6"/>
  <c r="N4" i="5"/>
  <c r="M4" i="4"/>
  <c r="AB4" i="6" s="1"/>
  <c r="H4" i="2"/>
  <c r="J3" i="6"/>
  <c r="G4" i="5" l="1"/>
  <c r="I4" i="5"/>
  <c r="L4" i="2"/>
  <c r="W4" i="6"/>
  <c r="M4" i="3"/>
  <c r="AG4" i="6"/>
  <c r="M4" i="6"/>
  <c r="N4" i="4"/>
  <c r="F4" i="6"/>
  <c r="G9" i="4" l="1"/>
  <c r="I4" i="4"/>
  <c r="AF4" i="6"/>
  <c r="AA4" i="6"/>
  <c r="N4" i="3"/>
  <c r="I4" i="3" s="1"/>
  <c r="E4" i="6"/>
  <c r="H5" i="5"/>
  <c r="K5" i="5" s="1"/>
  <c r="U5" i="6" s="1"/>
  <c r="L4" i="6"/>
  <c r="M4" i="2"/>
  <c r="V4" i="6"/>
  <c r="G4" i="3" l="1"/>
  <c r="K4" i="6"/>
  <c r="AE4" i="6"/>
  <c r="I5" i="6"/>
  <c r="L5" i="5"/>
  <c r="H5" i="4"/>
  <c r="K5" i="4" s="1"/>
  <c r="T5" i="6" s="1"/>
  <c r="N4" i="2"/>
  <c r="Z4" i="6"/>
  <c r="G4" i="2" l="1"/>
  <c r="I4" i="2"/>
  <c r="H5" i="6"/>
  <c r="C4" i="6"/>
  <c r="H5" i="3"/>
  <c r="K5" i="3" s="1"/>
  <c r="S5" i="6" s="1"/>
  <c r="Y5" i="6"/>
  <c r="M5" i="5"/>
  <c r="L5" i="4"/>
  <c r="X5" i="6" s="1"/>
  <c r="AD4" i="6"/>
  <c r="J4" i="6"/>
  <c r="G5" i="6" l="1"/>
  <c r="L5" i="3"/>
  <c r="N5" i="5"/>
  <c r="AC5" i="6"/>
  <c r="M5" i="4"/>
  <c r="AB5" i="6" s="1"/>
  <c r="B4" i="6"/>
  <c r="H5" i="2"/>
  <c r="K5" i="2" s="1"/>
  <c r="R5" i="6" s="1"/>
  <c r="G5" i="5" l="1"/>
  <c r="I5" i="5"/>
  <c r="W5" i="6"/>
  <c r="M5" i="3"/>
  <c r="AG5" i="6"/>
  <c r="M5" i="6"/>
  <c r="N5" i="4"/>
  <c r="L5" i="2"/>
  <c r="F5" i="6"/>
  <c r="G10" i="4" l="1"/>
  <c r="I5" i="4"/>
  <c r="AF5" i="6"/>
  <c r="AA5" i="6"/>
  <c r="N5" i="3"/>
  <c r="H6" i="5"/>
  <c r="K6" i="5" s="1"/>
  <c r="U6" i="6" s="1"/>
  <c r="E5" i="6"/>
  <c r="L5" i="6"/>
  <c r="M5" i="2"/>
  <c r="V5" i="6"/>
  <c r="G5" i="3" l="1"/>
  <c r="I5" i="3"/>
  <c r="AE5" i="6"/>
  <c r="K5" i="6"/>
  <c r="I6" i="6"/>
  <c r="L6" i="5"/>
  <c r="H6" i="4"/>
  <c r="K6" i="4" s="1"/>
  <c r="T6" i="6" s="1"/>
  <c r="N5" i="2"/>
  <c r="Z5" i="6"/>
  <c r="H6" i="6" l="1"/>
  <c r="G5" i="2"/>
  <c r="I5" i="2"/>
  <c r="H6" i="3"/>
  <c r="K6" i="3" s="1"/>
  <c r="S6" i="6" s="1"/>
  <c r="C5" i="6"/>
  <c r="M6" i="5"/>
  <c r="Y6" i="6"/>
  <c r="L6" i="4"/>
  <c r="X6" i="6" s="1"/>
  <c r="AD5" i="6"/>
  <c r="G6" i="6" l="1"/>
  <c r="L6" i="3"/>
  <c r="N6" i="5"/>
  <c r="AC6" i="6"/>
  <c r="M6" i="4"/>
  <c r="AB6" i="6" s="1"/>
  <c r="B5" i="6"/>
  <c r="H6" i="2"/>
  <c r="K6" i="2" s="1"/>
  <c r="J5" i="6"/>
  <c r="G6" i="5" l="1"/>
  <c r="I6" i="5"/>
  <c r="W6" i="6"/>
  <c r="M6" i="3"/>
  <c r="AG6" i="6"/>
  <c r="M6" i="6"/>
  <c r="N6" i="4"/>
  <c r="I6" i="4" s="1"/>
  <c r="L6" i="2"/>
  <c r="V6" i="6" s="1"/>
  <c r="F6" i="6"/>
  <c r="R6" i="6"/>
  <c r="M6" i="2"/>
  <c r="AF6" i="6" l="1"/>
  <c r="G11" i="4"/>
  <c r="AA6" i="6"/>
  <c r="N6" i="3"/>
  <c r="H7" i="5"/>
  <c r="K7" i="5" s="1"/>
  <c r="U7" i="6" s="1"/>
  <c r="E6" i="6"/>
  <c r="L6" i="6"/>
  <c r="N6" i="2"/>
  <c r="Z6" i="6"/>
  <c r="G6" i="2" l="1"/>
  <c r="I6" i="2"/>
  <c r="G6" i="3"/>
  <c r="I6" i="3"/>
  <c r="AE6" i="6"/>
  <c r="K6" i="6"/>
  <c r="I7" i="6"/>
  <c r="L7" i="5"/>
  <c r="H7" i="4"/>
  <c r="K7" i="4" s="1"/>
  <c r="T7" i="6" s="1"/>
  <c r="AD6" i="6"/>
  <c r="J6" i="6"/>
  <c r="H7" i="6" l="1"/>
  <c r="C6" i="6"/>
  <c r="H7" i="3"/>
  <c r="K7" i="3" s="1"/>
  <c r="S7" i="6" s="1"/>
  <c r="Y7" i="6"/>
  <c r="M7" i="5"/>
  <c r="L7" i="4"/>
  <c r="X7" i="6" s="1"/>
  <c r="B6" i="6"/>
  <c r="H7" i="2"/>
  <c r="K7" i="2" s="1"/>
  <c r="R7" i="6" s="1"/>
  <c r="G7" i="6" l="1"/>
  <c r="L7" i="3"/>
  <c r="AC7" i="6"/>
  <c r="N7" i="5"/>
  <c r="M7" i="4"/>
  <c r="AB7" i="6" s="1"/>
  <c r="L7" i="2"/>
  <c r="F7" i="6"/>
  <c r="G7" i="5" l="1"/>
  <c r="I7" i="5"/>
  <c r="W7" i="6"/>
  <c r="M7" i="3"/>
  <c r="AG7" i="6"/>
  <c r="M7" i="6"/>
  <c r="N7" i="4"/>
  <c r="M7" i="2"/>
  <c r="V7" i="6"/>
  <c r="G12" i="4" l="1"/>
  <c r="I7" i="4"/>
  <c r="AF7" i="6"/>
  <c r="D7" i="6"/>
  <c r="AA7" i="6"/>
  <c r="N7" i="3"/>
  <c r="H8" i="5"/>
  <c r="K8" i="5" s="1"/>
  <c r="U8" i="6" s="1"/>
  <c r="E7" i="6"/>
  <c r="L7" i="6"/>
  <c r="N7" i="2"/>
  <c r="Z7" i="6"/>
  <c r="G7" i="2" l="1"/>
  <c r="I7" i="2"/>
  <c r="G7" i="3"/>
  <c r="I7" i="3"/>
  <c r="AE7" i="6"/>
  <c r="K7" i="6"/>
  <c r="I8" i="6"/>
  <c r="L8" i="5"/>
  <c r="H8" i="4"/>
  <c r="K8" i="4" s="1"/>
  <c r="T8" i="6" s="1"/>
  <c r="B7" i="6"/>
  <c r="AD7" i="6"/>
  <c r="H8" i="6" l="1"/>
  <c r="C7" i="6"/>
  <c r="H8" i="3"/>
  <c r="K8" i="3" s="1"/>
  <c r="S8" i="6" s="1"/>
  <c r="Y8" i="6"/>
  <c r="M8" i="5"/>
  <c r="L8" i="4"/>
  <c r="X8" i="6" s="1"/>
  <c r="H8" i="2"/>
  <c r="K8" i="2" s="1"/>
  <c r="R8" i="6" s="1"/>
  <c r="J7" i="6"/>
  <c r="G8" i="6" l="1"/>
  <c r="L8" i="3"/>
  <c r="AC8" i="6"/>
  <c r="N8" i="5"/>
  <c r="M8" i="4"/>
  <c r="AB8" i="6" s="1"/>
  <c r="F8" i="6"/>
  <c r="L8" i="2"/>
  <c r="G8" i="5" l="1"/>
  <c r="I8" i="5"/>
  <c r="W8" i="6"/>
  <c r="M8" i="3"/>
  <c r="AG8" i="6"/>
  <c r="M8" i="6"/>
  <c r="N8" i="4"/>
  <c r="M8" i="2"/>
  <c r="V8" i="6"/>
  <c r="G13" i="4" l="1"/>
  <c r="I8" i="4"/>
  <c r="L8" i="6" s="1"/>
  <c r="AF8" i="6"/>
  <c r="D8" i="6"/>
  <c r="AA8" i="6"/>
  <c r="N8" i="3"/>
  <c r="H9" i="5"/>
  <c r="K9" i="5" s="1"/>
  <c r="U9" i="6" s="1"/>
  <c r="E8" i="6"/>
  <c r="N8" i="2"/>
  <c r="Z8" i="6"/>
  <c r="G8" i="2" l="1"/>
  <c r="I8" i="2"/>
  <c r="G8" i="3"/>
  <c r="I8" i="3"/>
  <c r="K8" i="6"/>
  <c r="AE8" i="6"/>
  <c r="I9" i="6"/>
  <c r="L9" i="5"/>
  <c r="H9" i="4"/>
  <c r="K9" i="4" s="1"/>
  <c r="T9" i="6" s="1"/>
  <c r="AD8" i="6"/>
  <c r="H9" i="6" l="1"/>
  <c r="C8" i="6"/>
  <c r="H9" i="3"/>
  <c r="K9" i="3" s="1"/>
  <c r="S9" i="6" s="1"/>
  <c r="Y9" i="6"/>
  <c r="M9" i="5"/>
  <c r="L9" i="4"/>
  <c r="X9" i="6" s="1"/>
  <c r="B8" i="6"/>
  <c r="H9" i="2"/>
  <c r="K9" i="2" s="1"/>
  <c r="R9" i="6" s="1"/>
  <c r="J8" i="6"/>
  <c r="G9" i="6" l="1"/>
  <c r="L9" i="3"/>
  <c r="AC9" i="6"/>
  <c r="N9" i="5"/>
  <c r="M9" i="4"/>
  <c r="AB9" i="6" s="1"/>
  <c r="L9" i="2"/>
  <c r="F9" i="6"/>
  <c r="G9" i="5" l="1"/>
  <c r="I9" i="5"/>
  <c r="W9" i="6"/>
  <c r="M9" i="3"/>
  <c r="AG9" i="6"/>
  <c r="M9" i="6"/>
  <c r="N9" i="4"/>
  <c r="M9" i="2"/>
  <c r="V9" i="6"/>
  <c r="G14" i="4" l="1"/>
  <c r="I9" i="4"/>
  <c r="AF9" i="6"/>
  <c r="D9" i="6"/>
  <c r="D13" i="6"/>
  <c r="AA9" i="6"/>
  <c r="N9" i="3"/>
  <c r="H10" i="5"/>
  <c r="K10" i="5" s="1"/>
  <c r="U10" i="6" s="1"/>
  <c r="E9" i="6"/>
  <c r="L9" i="6"/>
  <c r="N9" i="2"/>
  <c r="Z9" i="6"/>
  <c r="G9" i="2" l="1"/>
  <c r="I9" i="2"/>
  <c r="G9" i="3"/>
  <c r="I9" i="3"/>
  <c r="AE9" i="6"/>
  <c r="K9" i="6"/>
  <c r="L10" i="5"/>
  <c r="I10" i="6"/>
  <c r="H10" i="4"/>
  <c r="K10" i="4" s="1"/>
  <c r="T10" i="6" s="1"/>
  <c r="AD9" i="6"/>
  <c r="J9" i="6"/>
  <c r="H10" i="6" l="1"/>
  <c r="C9" i="6"/>
  <c r="H10" i="3"/>
  <c r="K10" i="3" s="1"/>
  <c r="S10" i="6" s="1"/>
  <c r="M10" i="5"/>
  <c r="Y10" i="6"/>
  <c r="L10" i="4"/>
  <c r="X10" i="6" s="1"/>
  <c r="B9" i="6"/>
  <c r="H10" i="2"/>
  <c r="K10" i="2" s="1"/>
  <c r="R10" i="6" s="1"/>
  <c r="G10" i="6" l="1"/>
  <c r="L10" i="3"/>
  <c r="AC10" i="6"/>
  <c r="N10" i="5"/>
  <c r="M10" i="4"/>
  <c r="AB10" i="6" s="1"/>
  <c r="L10" i="2"/>
  <c r="F10" i="6"/>
  <c r="G10" i="5" l="1"/>
  <c r="I10" i="5"/>
  <c r="W10" i="6"/>
  <c r="M10" i="3"/>
  <c r="AG10" i="6"/>
  <c r="M10" i="6"/>
  <c r="N10" i="4"/>
  <c r="M10" i="2"/>
  <c r="V10" i="6"/>
  <c r="G15" i="4" l="1"/>
  <c r="I10" i="4"/>
  <c r="L10" i="6" s="1"/>
  <c r="AF10" i="6"/>
  <c r="D10" i="6"/>
  <c r="AA10" i="6"/>
  <c r="N10" i="3"/>
  <c r="H11" i="5"/>
  <c r="K11" i="5" s="1"/>
  <c r="U11" i="6" s="1"/>
  <c r="E10" i="6"/>
  <c r="N10" i="2"/>
  <c r="Z10" i="6"/>
  <c r="G10" i="2" l="1"/>
  <c r="I10" i="2"/>
  <c r="G10" i="3"/>
  <c r="I10" i="3"/>
  <c r="AE10" i="6"/>
  <c r="K10" i="6"/>
  <c r="L11" i="5"/>
  <c r="I11" i="6"/>
  <c r="H11" i="4"/>
  <c r="K11" i="4" s="1"/>
  <c r="T11" i="6" s="1"/>
  <c r="J10" i="6"/>
  <c r="AD10" i="6"/>
  <c r="H11" i="6" l="1"/>
  <c r="C10" i="6"/>
  <c r="H11" i="3"/>
  <c r="K11" i="3" s="1"/>
  <c r="S11" i="6" s="1"/>
  <c r="Y11" i="6"/>
  <c r="M11" i="5"/>
  <c r="L11" i="4"/>
  <c r="X11" i="6" s="1"/>
  <c r="B10" i="6"/>
  <c r="H11" i="2"/>
  <c r="K11" i="2" s="1"/>
  <c r="R11" i="6" s="1"/>
  <c r="G11" i="6" l="1"/>
  <c r="L11" i="3"/>
  <c r="AC11" i="6"/>
  <c r="N11" i="5"/>
  <c r="M11" i="4"/>
  <c r="AB11" i="6" s="1"/>
  <c r="F11" i="6"/>
  <c r="L11" i="2"/>
  <c r="G11" i="5" l="1"/>
  <c r="I11" i="5"/>
  <c r="W11" i="6"/>
  <c r="M11" i="3"/>
  <c r="AG11" i="6"/>
  <c r="M11" i="6"/>
  <c r="N11" i="4"/>
  <c r="M11" i="2"/>
  <c r="V11" i="6"/>
  <c r="G16" i="4" l="1"/>
  <c r="I11" i="4"/>
  <c r="L11" i="6" s="1"/>
  <c r="AF11" i="6"/>
  <c r="D11" i="6"/>
  <c r="AA11" i="6"/>
  <c r="N11" i="3"/>
  <c r="E11" i="6"/>
  <c r="H12" i="5"/>
  <c r="K12" i="5" s="1"/>
  <c r="U12" i="6" s="1"/>
  <c r="N11" i="2"/>
  <c r="Z11" i="6"/>
  <c r="G11" i="2" l="1"/>
  <c r="I11" i="2"/>
  <c r="J11" i="6" s="1"/>
  <c r="G11" i="3"/>
  <c r="I11" i="3"/>
  <c r="AE11" i="6"/>
  <c r="K11" i="6"/>
  <c r="L12" i="5"/>
  <c r="I12" i="6"/>
  <c r="H12" i="4"/>
  <c r="K12" i="4" s="1"/>
  <c r="T12" i="6" s="1"/>
  <c r="AD11" i="6"/>
  <c r="H12" i="6" l="1"/>
  <c r="C11" i="6"/>
  <c r="H12" i="3"/>
  <c r="K12" i="3" s="1"/>
  <c r="S12" i="6" s="1"/>
  <c r="Y12" i="6"/>
  <c r="M12" i="5"/>
  <c r="L12" i="4"/>
  <c r="X12" i="6" s="1"/>
  <c r="H12" i="2"/>
  <c r="K12" i="2" s="1"/>
  <c r="R12" i="6" s="1"/>
  <c r="B11" i="6"/>
  <c r="G12" i="6" l="1"/>
  <c r="L12" i="3"/>
  <c r="AC12" i="6"/>
  <c r="N12" i="5"/>
  <c r="M12" i="4"/>
  <c r="AB12" i="6" s="1"/>
  <c r="L12" i="2"/>
  <c r="F12" i="6"/>
  <c r="G12" i="5" l="1"/>
  <c r="I12" i="5"/>
  <c r="W12" i="6"/>
  <c r="M12" i="3"/>
  <c r="AG12" i="6"/>
  <c r="M12" i="6"/>
  <c r="N12" i="4"/>
  <c r="M12" i="2"/>
  <c r="V12" i="6"/>
  <c r="G17" i="4" l="1"/>
  <c r="I12" i="4"/>
  <c r="L12" i="6" s="1"/>
  <c r="AF12" i="6"/>
  <c r="D12" i="6"/>
  <c r="AA12" i="6"/>
  <c r="N12" i="3"/>
  <c r="H13" i="5"/>
  <c r="K13" i="5" s="1"/>
  <c r="U13" i="6" s="1"/>
  <c r="E12" i="6"/>
  <c r="N12" i="2"/>
  <c r="Z12" i="6"/>
  <c r="G12" i="2" l="1"/>
  <c r="I12" i="2"/>
  <c r="G12" i="3"/>
  <c r="I12" i="3"/>
  <c r="AE12" i="6"/>
  <c r="K12" i="6"/>
  <c r="I13" i="6"/>
  <c r="L13" i="5"/>
  <c r="H13" i="4"/>
  <c r="K13" i="4" s="1"/>
  <c r="T13" i="6" s="1"/>
  <c r="AD12" i="6"/>
  <c r="H13" i="6" l="1"/>
  <c r="C12" i="6"/>
  <c r="H13" i="3"/>
  <c r="K13" i="3" s="1"/>
  <c r="S13" i="6" s="1"/>
  <c r="Y13" i="6"/>
  <c r="M13" i="5"/>
  <c r="L13" i="4"/>
  <c r="X13" i="6" s="1"/>
  <c r="B12" i="6"/>
  <c r="H13" i="2"/>
  <c r="K13" i="2" s="1"/>
  <c r="R13" i="6" s="1"/>
  <c r="J12" i="6"/>
  <c r="G13" i="6" l="1"/>
  <c r="L13" i="3"/>
  <c r="AC13" i="6"/>
  <c r="N13" i="5"/>
  <c r="M13" i="4"/>
  <c r="AB13" i="6" s="1"/>
  <c r="L13" i="2"/>
  <c r="F13" i="6"/>
  <c r="G13" i="5" l="1"/>
  <c r="I13" i="5"/>
  <c r="W13" i="6"/>
  <c r="M13" i="3"/>
  <c r="AG13" i="6"/>
  <c r="M13" i="6"/>
  <c r="N13" i="4"/>
  <c r="M13" i="2"/>
  <c r="V13" i="6"/>
  <c r="G18" i="4" l="1"/>
  <c r="I13" i="4"/>
  <c r="AF13" i="6"/>
  <c r="AA13" i="6"/>
  <c r="N13" i="3"/>
  <c r="H14" i="5"/>
  <c r="K14" i="5" s="1"/>
  <c r="U14" i="6" s="1"/>
  <c r="E13" i="6"/>
  <c r="L13" i="6"/>
  <c r="N13" i="2"/>
  <c r="Z13" i="6"/>
  <c r="G13" i="2" l="1"/>
  <c r="I13" i="2"/>
  <c r="G13" i="3"/>
  <c r="I13" i="3"/>
  <c r="AE13" i="6"/>
  <c r="K13" i="6"/>
  <c r="L14" i="5"/>
  <c r="I14" i="6"/>
  <c r="H14" i="4"/>
  <c r="K14" i="4" s="1"/>
  <c r="T14" i="6" s="1"/>
  <c r="AD13" i="6"/>
  <c r="J13" i="6"/>
  <c r="H14" i="6" l="1"/>
  <c r="C13" i="6"/>
  <c r="H14" i="3"/>
  <c r="K14" i="3" s="1"/>
  <c r="S14" i="6" s="1"/>
  <c r="M14" i="5"/>
  <c r="Y14" i="6"/>
  <c r="L14" i="4"/>
  <c r="X14" i="6" s="1"/>
  <c r="B13" i="6"/>
  <c r="H14" i="2"/>
  <c r="K14" i="2" s="1"/>
  <c r="R14" i="6" s="1"/>
  <c r="G14" i="6" l="1"/>
  <c r="L14" i="3"/>
  <c r="AC14" i="6"/>
  <c r="N14" i="5"/>
  <c r="M14" i="4"/>
  <c r="AB14" i="6" s="1"/>
  <c r="L14" i="2"/>
  <c r="F14" i="6"/>
  <c r="G14" i="5" l="1"/>
  <c r="I14" i="5"/>
  <c r="W14" i="6"/>
  <c r="M14" i="3"/>
  <c r="AG14" i="6"/>
  <c r="M14" i="6"/>
  <c r="N14" i="4"/>
  <c r="M14" i="2"/>
  <c r="V14" i="6"/>
  <c r="G19" i="4" l="1"/>
  <c r="I14" i="4"/>
  <c r="L14" i="6" s="1"/>
  <c r="AF14" i="6"/>
  <c r="D14" i="6"/>
  <c r="AA14" i="6"/>
  <c r="N14" i="3"/>
  <c r="H15" i="5"/>
  <c r="K15" i="5" s="1"/>
  <c r="U15" i="6" s="1"/>
  <c r="E14" i="6"/>
  <c r="N14" i="2"/>
  <c r="Z14" i="6"/>
  <c r="G14" i="2" l="1"/>
  <c r="I14" i="2"/>
  <c r="J14" i="6" s="1"/>
  <c r="G14" i="3"/>
  <c r="I14" i="3"/>
  <c r="AE14" i="6"/>
  <c r="K14" i="6"/>
  <c r="L15" i="5"/>
  <c r="I15" i="6"/>
  <c r="H15" i="4"/>
  <c r="K15" i="4" s="1"/>
  <c r="T15" i="6" s="1"/>
  <c r="AD14" i="6"/>
  <c r="H15" i="6" l="1"/>
  <c r="C14" i="6"/>
  <c r="H15" i="3"/>
  <c r="K15" i="3" s="1"/>
  <c r="S15" i="6" s="1"/>
  <c r="M15" i="5"/>
  <c r="Y15" i="6"/>
  <c r="L15" i="4"/>
  <c r="X15" i="6" s="1"/>
  <c r="H15" i="2"/>
  <c r="K15" i="2" s="1"/>
  <c r="R15" i="6" s="1"/>
  <c r="B14" i="6"/>
  <c r="G15" i="6" l="1"/>
  <c r="L15" i="3"/>
  <c r="AC15" i="6"/>
  <c r="N15" i="5"/>
  <c r="M15" i="4"/>
  <c r="AB15" i="6" s="1"/>
  <c r="F15" i="6"/>
  <c r="L15" i="2"/>
  <c r="G15" i="5" l="1"/>
  <c r="I15" i="5"/>
  <c r="W15" i="6"/>
  <c r="M15" i="3"/>
  <c r="AG15" i="6"/>
  <c r="M15" i="6"/>
  <c r="N15" i="4"/>
  <c r="M15" i="2"/>
  <c r="V15" i="6"/>
  <c r="G20" i="4" l="1"/>
  <c r="I15" i="4"/>
  <c r="L15" i="6" s="1"/>
  <c r="AF15" i="6"/>
  <c r="D15" i="6"/>
  <c r="AA15" i="6"/>
  <c r="N15" i="3"/>
  <c r="E15" i="6"/>
  <c r="H16" i="5"/>
  <c r="K16" i="5" s="1"/>
  <c r="U16" i="6" s="1"/>
  <c r="N15" i="2"/>
  <c r="Z15" i="6"/>
  <c r="G15" i="2" l="1"/>
  <c r="I15" i="2"/>
  <c r="G15" i="3"/>
  <c r="I15" i="3"/>
  <c r="AE15" i="6"/>
  <c r="K15" i="6"/>
  <c r="I16" i="6"/>
  <c r="L16" i="5"/>
  <c r="H16" i="4"/>
  <c r="K16" i="4" s="1"/>
  <c r="T16" i="6" s="1"/>
  <c r="B15" i="6"/>
  <c r="AD15" i="6"/>
  <c r="H16" i="6" l="1"/>
  <c r="C15" i="6"/>
  <c r="H16" i="3"/>
  <c r="K16" i="3" s="1"/>
  <c r="S16" i="6" s="1"/>
  <c r="M16" i="5"/>
  <c r="Y16" i="6"/>
  <c r="L16" i="4"/>
  <c r="X16" i="6" s="1"/>
  <c r="H16" i="2"/>
  <c r="K16" i="2" s="1"/>
  <c r="R16" i="6" s="1"/>
  <c r="J15" i="6"/>
  <c r="G16" i="6" l="1"/>
  <c r="L16" i="3"/>
  <c r="AC16" i="6"/>
  <c r="N16" i="5"/>
  <c r="M16" i="4"/>
  <c r="AB16" i="6" s="1"/>
  <c r="L16" i="2"/>
  <c r="F16" i="6"/>
  <c r="G16" i="5" l="1"/>
  <c r="I16" i="5"/>
  <c r="W16" i="6"/>
  <c r="M16" i="3"/>
  <c r="AG16" i="6"/>
  <c r="M16" i="6"/>
  <c r="N16" i="4"/>
  <c r="M16" i="2"/>
  <c r="V16" i="6"/>
  <c r="G21" i="4" l="1"/>
  <c r="I16" i="4"/>
  <c r="L16" i="6" s="1"/>
  <c r="AF16" i="6"/>
  <c r="D16" i="6"/>
  <c r="AA16" i="6"/>
  <c r="N16" i="3"/>
  <c r="E16" i="6"/>
  <c r="H17" i="5"/>
  <c r="K17" i="5" s="1"/>
  <c r="U17" i="6" s="1"/>
  <c r="D20" i="6"/>
  <c r="N16" i="2"/>
  <c r="Z16" i="6"/>
  <c r="G16" i="2" l="1"/>
  <c r="I16" i="2"/>
  <c r="G16" i="3"/>
  <c r="I16" i="3"/>
  <c r="AE16" i="6"/>
  <c r="K16" i="6"/>
  <c r="L17" i="5"/>
  <c r="I17" i="6"/>
  <c r="H17" i="4"/>
  <c r="K17" i="4" s="1"/>
  <c r="T17" i="6" s="1"/>
  <c r="AD16" i="6"/>
  <c r="H17" i="6" l="1"/>
  <c r="C16" i="6"/>
  <c r="H17" i="3"/>
  <c r="K17" i="3" s="1"/>
  <c r="S17" i="6" s="1"/>
  <c r="Y17" i="6"/>
  <c r="M17" i="5"/>
  <c r="L17" i="4"/>
  <c r="X17" i="6" s="1"/>
  <c r="J16" i="6"/>
  <c r="B16" i="6"/>
  <c r="H17" i="2"/>
  <c r="K17" i="2" s="1"/>
  <c r="R17" i="6" s="1"/>
  <c r="G17" i="6" l="1"/>
  <c r="L17" i="3"/>
  <c r="AC17" i="6"/>
  <c r="N17" i="5"/>
  <c r="M17" i="4"/>
  <c r="AB17" i="6" s="1"/>
  <c r="L17" i="2"/>
  <c r="F17" i="6"/>
  <c r="G17" i="5" l="1"/>
  <c r="I17" i="5"/>
  <c r="W17" i="6"/>
  <c r="M17" i="3"/>
  <c r="AG17" i="6"/>
  <c r="M17" i="6"/>
  <c r="N17" i="4"/>
  <c r="M17" i="2"/>
  <c r="V17" i="6"/>
  <c r="G22" i="4" l="1"/>
  <c r="I17" i="4"/>
  <c r="L17" i="6" s="1"/>
  <c r="AF17" i="6"/>
  <c r="D17" i="6"/>
  <c r="AA17" i="6"/>
  <c r="N17" i="3"/>
  <c r="E17" i="6"/>
  <c r="H18" i="5"/>
  <c r="K18" i="5" s="1"/>
  <c r="U18" i="6" s="1"/>
  <c r="N17" i="2"/>
  <c r="Z17" i="6"/>
  <c r="G17" i="2" l="1"/>
  <c r="I17" i="2"/>
  <c r="G17" i="3"/>
  <c r="I17" i="3"/>
  <c r="AE17" i="6"/>
  <c r="K17" i="6"/>
  <c r="I18" i="6"/>
  <c r="L18" i="5"/>
  <c r="H18" i="4"/>
  <c r="K18" i="4" s="1"/>
  <c r="T18" i="6" s="1"/>
  <c r="AD17" i="6"/>
  <c r="J17" i="6"/>
  <c r="H18" i="6" l="1"/>
  <c r="C17" i="6"/>
  <c r="H18" i="3"/>
  <c r="K18" i="3" s="1"/>
  <c r="S18" i="6" s="1"/>
  <c r="M18" i="5"/>
  <c r="Y18" i="6"/>
  <c r="L18" i="4"/>
  <c r="X18" i="6" s="1"/>
  <c r="B17" i="6"/>
  <c r="H18" i="2"/>
  <c r="K18" i="2" s="1"/>
  <c r="R18" i="6" s="1"/>
  <c r="G18" i="6" l="1"/>
  <c r="L18" i="3"/>
  <c r="AC18" i="6"/>
  <c r="N18" i="5"/>
  <c r="M18" i="4"/>
  <c r="AB18" i="6" s="1"/>
  <c r="L18" i="2"/>
  <c r="F18" i="6"/>
  <c r="G18" i="5" l="1"/>
  <c r="I18" i="5"/>
  <c r="W18" i="6"/>
  <c r="M18" i="3"/>
  <c r="AG18" i="6"/>
  <c r="M18" i="6"/>
  <c r="N18" i="4"/>
  <c r="M18" i="2"/>
  <c r="V18" i="6"/>
  <c r="G23" i="4" l="1"/>
  <c r="I18" i="4"/>
  <c r="L18" i="6" s="1"/>
  <c r="AF18" i="6"/>
  <c r="D18" i="6"/>
  <c r="AA18" i="6"/>
  <c r="N18" i="3"/>
  <c r="E18" i="6"/>
  <c r="H19" i="5"/>
  <c r="K19" i="5" s="1"/>
  <c r="U19" i="6" s="1"/>
  <c r="N18" i="2"/>
  <c r="Z18" i="6"/>
  <c r="G18" i="2" l="1"/>
  <c r="I18" i="2"/>
  <c r="G18" i="3"/>
  <c r="I18" i="3"/>
  <c r="AE18" i="6"/>
  <c r="K18" i="6"/>
  <c r="I19" i="6"/>
  <c r="L19" i="5"/>
  <c r="H19" i="4"/>
  <c r="K19" i="4" s="1"/>
  <c r="T19" i="6" s="1"/>
  <c r="AD18" i="6"/>
  <c r="H19" i="6" l="1"/>
  <c r="C18" i="6"/>
  <c r="H19" i="3"/>
  <c r="K19" i="3" s="1"/>
  <c r="S19" i="6" s="1"/>
  <c r="Y19" i="6"/>
  <c r="M19" i="5"/>
  <c r="L19" i="4"/>
  <c r="X19" i="6" s="1"/>
  <c r="J18" i="6"/>
  <c r="B18" i="6"/>
  <c r="H19" i="2"/>
  <c r="K19" i="2" s="1"/>
  <c r="R19" i="6" s="1"/>
  <c r="G19" i="6" l="1"/>
  <c r="L19" i="3"/>
  <c r="N19" i="5"/>
  <c r="AC19" i="6"/>
  <c r="M19" i="4"/>
  <c r="AB19" i="6" s="1"/>
  <c r="L19" i="2"/>
  <c r="F19" i="6"/>
  <c r="G19" i="5" l="1"/>
  <c r="I19" i="5"/>
  <c r="W19" i="6"/>
  <c r="M19" i="3"/>
  <c r="AG19" i="6"/>
  <c r="M19" i="6"/>
  <c r="N19" i="4"/>
  <c r="M19" i="2"/>
  <c r="V19" i="6"/>
  <c r="G24" i="4" l="1"/>
  <c r="I19" i="4"/>
  <c r="L19" i="6" s="1"/>
  <c r="AF19" i="6"/>
  <c r="D19" i="6"/>
  <c r="AA19" i="6"/>
  <c r="N19" i="3"/>
  <c r="H20" i="5"/>
  <c r="K20" i="5" s="1"/>
  <c r="U20" i="6" s="1"/>
  <c r="E19" i="6"/>
  <c r="N19" i="2"/>
  <c r="Z19" i="6"/>
  <c r="G19" i="2" l="1"/>
  <c r="I19" i="2"/>
  <c r="G19" i="3"/>
  <c r="I19" i="3"/>
  <c r="AE19" i="6"/>
  <c r="K19" i="6"/>
  <c r="L20" i="5"/>
  <c r="I20" i="6"/>
  <c r="H20" i="4"/>
  <c r="K20" i="4" s="1"/>
  <c r="T20" i="6" s="1"/>
  <c r="AD19" i="6"/>
  <c r="J19" i="6"/>
  <c r="H20" i="6" l="1"/>
  <c r="C19" i="6"/>
  <c r="H20" i="3"/>
  <c r="K20" i="3" s="1"/>
  <c r="S20" i="6" s="1"/>
  <c r="Y20" i="6"/>
  <c r="M20" i="5"/>
  <c r="L20" i="4"/>
  <c r="X20" i="6" s="1"/>
  <c r="B19" i="6"/>
  <c r="H20" i="2"/>
  <c r="K20" i="2" s="1"/>
  <c r="R20" i="6" s="1"/>
  <c r="G20" i="6" l="1"/>
  <c r="L20" i="3"/>
  <c r="AC20" i="6"/>
  <c r="N20" i="5"/>
  <c r="M20" i="4"/>
  <c r="AB20" i="6" s="1"/>
  <c r="L20" i="2"/>
  <c r="F20" i="6"/>
  <c r="G20" i="5" l="1"/>
  <c r="I20" i="5"/>
  <c r="W20" i="6"/>
  <c r="M20" i="3"/>
  <c r="AG20" i="6"/>
  <c r="M20" i="6"/>
  <c r="N20" i="4"/>
  <c r="M20" i="2"/>
  <c r="V20" i="6"/>
  <c r="G25" i="4" l="1"/>
  <c r="I20" i="4"/>
  <c r="L20" i="6" s="1"/>
  <c r="AF20" i="6"/>
  <c r="AA20" i="6"/>
  <c r="N20" i="3"/>
  <c r="E20" i="6"/>
  <c r="H21" i="5"/>
  <c r="K21" i="5" s="1"/>
  <c r="U21" i="6" s="1"/>
  <c r="N20" i="2"/>
  <c r="Z20" i="6"/>
  <c r="G20" i="2" l="1"/>
  <c r="I20" i="2"/>
  <c r="G20" i="3"/>
  <c r="I20" i="3"/>
  <c r="AE20" i="6"/>
  <c r="K20" i="6"/>
  <c r="I21" i="6"/>
  <c r="L21" i="5"/>
  <c r="H21" i="4"/>
  <c r="K21" i="4" s="1"/>
  <c r="T21" i="6" s="1"/>
  <c r="AD20" i="6"/>
  <c r="H21" i="6" l="1"/>
  <c r="C20" i="6"/>
  <c r="H21" i="3"/>
  <c r="K21" i="3" s="1"/>
  <c r="S21" i="6" s="1"/>
  <c r="Y21" i="6"/>
  <c r="M21" i="5"/>
  <c r="L21" i="4"/>
  <c r="X21" i="6" s="1"/>
  <c r="J20" i="6"/>
  <c r="B20" i="6"/>
  <c r="H21" i="2"/>
  <c r="K21" i="2" s="1"/>
  <c r="R21" i="6" s="1"/>
  <c r="G21" i="6" l="1"/>
  <c r="L21" i="3"/>
  <c r="AC21" i="6"/>
  <c r="N21" i="5"/>
  <c r="M21" i="4"/>
  <c r="AB21" i="6" s="1"/>
  <c r="L21" i="2"/>
  <c r="F21" i="6"/>
  <c r="G21" i="5" l="1"/>
  <c r="I21" i="5"/>
  <c r="W21" i="6"/>
  <c r="M21" i="3"/>
  <c r="AG21" i="6"/>
  <c r="M21" i="6"/>
  <c r="N21" i="4"/>
  <c r="M21" i="2"/>
  <c r="V21" i="6"/>
  <c r="G26" i="4" l="1"/>
  <c r="I21" i="4"/>
  <c r="L21" i="6" s="1"/>
  <c r="AF21" i="6"/>
  <c r="D21" i="6"/>
  <c r="AA21" i="6"/>
  <c r="N21" i="3"/>
  <c r="H22" i="5"/>
  <c r="K22" i="5" s="1"/>
  <c r="U22" i="6" s="1"/>
  <c r="E21" i="6"/>
  <c r="N21" i="2"/>
  <c r="Z21" i="6"/>
  <c r="G21" i="2" l="1"/>
  <c r="I21" i="2"/>
  <c r="G21" i="3"/>
  <c r="I21" i="3"/>
  <c r="AE21" i="6"/>
  <c r="K21" i="6"/>
  <c r="I22" i="6"/>
  <c r="L22" i="5"/>
  <c r="H22" i="4"/>
  <c r="K22" i="4" s="1"/>
  <c r="T22" i="6" s="1"/>
  <c r="B21" i="6"/>
  <c r="AD21" i="6"/>
  <c r="H22" i="6" l="1"/>
  <c r="C21" i="6"/>
  <c r="H22" i="3"/>
  <c r="K22" i="3" s="1"/>
  <c r="S22" i="6" s="1"/>
  <c r="M22" i="5"/>
  <c r="Y22" i="6"/>
  <c r="L22" i="4"/>
  <c r="X22" i="6" s="1"/>
  <c r="H22" i="2"/>
  <c r="K22" i="2" s="1"/>
  <c r="R22" i="6" s="1"/>
  <c r="J21" i="6"/>
  <c r="G22" i="6" l="1"/>
  <c r="L22" i="3"/>
  <c r="AC22" i="6"/>
  <c r="N22" i="5"/>
  <c r="M22" i="4"/>
  <c r="AB22" i="6" s="1"/>
  <c r="F22" i="6"/>
  <c r="L22" i="2"/>
  <c r="G22" i="5" l="1"/>
  <c r="I22" i="5"/>
  <c r="W22" i="6"/>
  <c r="M22" i="3"/>
  <c r="AG22" i="6"/>
  <c r="M22" i="6"/>
  <c r="N22" i="4"/>
  <c r="M22" i="2"/>
  <c r="V22" i="6"/>
  <c r="G27" i="4" l="1"/>
  <c r="I22" i="4"/>
  <c r="L22" i="6" s="1"/>
  <c r="AF22" i="6"/>
  <c r="D22" i="6"/>
  <c r="AA22" i="6"/>
  <c r="N22" i="3"/>
  <c r="E22" i="6"/>
  <c r="H23" i="5"/>
  <c r="K23" i="5" s="1"/>
  <c r="U23" i="6" s="1"/>
  <c r="N22" i="2"/>
  <c r="Z22" i="6"/>
  <c r="G22" i="2" l="1"/>
  <c r="I22" i="2"/>
  <c r="G22" i="3"/>
  <c r="I22" i="3"/>
  <c r="AE22" i="6"/>
  <c r="K22" i="6"/>
  <c r="I23" i="6"/>
  <c r="L23" i="5"/>
  <c r="H23" i="4"/>
  <c r="K23" i="4" s="1"/>
  <c r="T23" i="6" s="1"/>
  <c r="AD22" i="6"/>
  <c r="J22" i="6"/>
  <c r="H23" i="6" l="1"/>
  <c r="C22" i="6"/>
  <c r="H23" i="3"/>
  <c r="K23" i="3" s="1"/>
  <c r="S23" i="6" s="1"/>
  <c r="M23" i="5"/>
  <c r="Y23" i="6"/>
  <c r="L23" i="4"/>
  <c r="X23" i="6" s="1"/>
  <c r="B22" i="6"/>
  <c r="H23" i="2"/>
  <c r="K23" i="2" s="1"/>
  <c r="R23" i="6" s="1"/>
  <c r="G23" i="6" l="1"/>
  <c r="L23" i="3"/>
  <c r="AC23" i="6"/>
  <c r="N23" i="5"/>
  <c r="M23" i="4"/>
  <c r="AB23" i="6" s="1"/>
  <c r="F23" i="6"/>
  <c r="L23" i="2"/>
  <c r="G23" i="5" l="1"/>
  <c r="I23" i="5"/>
  <c r="W23" i="6"/>
  <c r="M23" i="3"/>
  <c r="AG23" i="6"/>
  <c r="M23" i="6"/>
  <c r="N23" i="4"/>
  <c r="M23" i="2"/>
  <c r="V23" i="6"/>
  <c r="G28" i="4" l="1"/>
  <c r="I23" i="4"/>
  <c r="L23" i="6" s="1"/>
  <c r="AF23" i="6"/>
  <c r="D23" i="6"/>
  <c r="AA23" i="6"/>
  <c r="N23" i="3"/>
  <c r="H24" i="5"/>
  <c r="K24" i="5" s="1"/>
  <c r="U24" i="6" s="1"/>
  <c r="E23" i="6"/>
  <c r="N23" i="2"/>
  <c r="Z23" i="6"/>
  <c r="G23" i="2" l="1"/>
  <c r="I23" i="2"/>
  <c r="G23" i="3"/>
  <c r="I23" i="3"/>
  <c r="AE23" i="6"/>
  <c r="K23" i="6"/>
  <c r="I24" i="6"/>
  <c r="L24" i="5"/>
  <c r="H24" i="4"/>
  <c r="K24" i="4" s="1"/>
  <c r="T24" i="6" s="1"/>
  <c r="AD23" i="6"/>
  <c r="J23" i="6"/>
  <c r="H24" i="6" l="1"/>
  <c r="C23" i="6"/>
  <c r="H24" i="3"/>
  <c r="K24" i="3" s="1"/>
  <c r="S24" i="6" s="1"/>
  <c r="M24" i="5"/>
  <c r="Y24" i="6"/>
  <c r="L24" i="4"/>
  <c r="X24" i="6" s="1"/>
  <c r="B23" i="6"/>
  <c r="H24" i="2"/>
  <c r="K24" i="2" s="1"/>
  <c r="R24" i="6" s="1"/>
  <c r="G24" i="6" l="1"/>
  <c r="L24" i="3"/>
  <c r="AC24" i="6"/>
  <c r="N24" i="5"/>
  <c r="M24" i="4"/>
  <c r="AB24" i="6" s="1"/>
  <c r="F24" i="6"/>
  <c r="L24" i="2"/>
  <c r="G24" i="5" l="1"/>
  <c r="I24" i="5"/>
  <c r="W24" i="6"/>
  <c r="M24" i="3"/>
  <c r="AG24" i="6"/>
  <c r="M24" i="6"/>
  <c r="N24" i="4"/>
  <c r="M24" i="2"/>
  <c r="V24" i="6"/>
  <c r="G29" i="4" l="1"/>
  <c r="I24" i="4"/>
  <c r="L24" i="6" s="1"/>
  <c r="AF24" i="6"/>
  <c r="D24" i="6"/>
  <c r="AA24" i="6"/>
  <c r="N24" i="3"/>
  <c r="E24" i="6"/>
  <c r="H25" i="5"/>
  <c r="K25" i="5" s="1"/>
  <c r="U25" i="6" s="1"/>
  <c r="N24" i="2"/>
  <c r="Z24" i="6"/>
  <c r="G24" i="2" l="1"/>
  <c r="I24" i="2"/>
  <c r="G24" i="3"/>
  <c r="I24" i="3"/>
  <c r="AE24" i="6"/>
  <c r="K24" i="6"/>
  <c r="L25" i="5"/>
  <c r="I25" i="6"/>
  <c r="H25" i="4"/>
  <c r="K25" i="4" s="1"/>
  <c r="T25" i="6" s="1"/>
  <c r="AD24" i="6"/>
  <c r="H25" i="6" l="1"/>
  <c r="C24" i="6"/>
  <c r="H25" i="3"/>
  <c r="K25" i="3" s="1"/>
  <c r="S25" i="6" s="1"/>
  <c r="Y25" i="6"/>
  <c r="M25" i="5"/>
  <c r="L25" i="4"/>
  <c r="X25" i="6" s="1"/>
  <c r="J24" i="6"/>
  <c r="B24" i="6"/>
  <c r="H25" i="2"/>
  <c r="K25" i="2" s="1"/>
  <c r="R25" i="6" s="1"/>
  <c r="G25" i="6" l="1"/>
  <c r="L25" i="3"/>
  <c r="AC25" i="6"/>
  <c r="N25" i="5"/>
  <c r="M25" i="4"/>
  <c r="AB25" i="6" s="1"/>
  <c r="F25" i="6"/>
  <c r="L25" i="2"/>
  <c r="G25" i="5" l="1"/>
  <c r="I25" i="5"/>
  <c r="W25" i="6"/>
  <c r="M25" i="3"/>
  <c r="AG25" i="6"/>
  <c r="M25" i="6"/>
  <c r="N25" i="4"/>
  <c r="M25" i="2"/>
  <c r="V25" i="6"/>
  <c r="G30" i="4" l="1"/>
  <c r="I25" i="4"/>
  <c r="L25" i="6" s="1"/>
  <c r="AF25" i="6"/>
  <c r="D25" i="6"/>
  <c r="AA25" i="6"/>
  <c r="N25" i="3"/>
  <c r="H26" i="5"/>
  <c r="K26" i="5" s="1"/>
  <c r="U26" i="6" s="1"/>
  <c r="E25" i="6"/>
  <c r="N25" i="2"/>
  <c r="Z25" i="6"/>
  <c r="G25" i="2" l="1"/>
  <c r="I25" i="2"/>
  <c r="G25" i="3"/>
  <c r="I25" i="3"/>
  <c r="AE25" i="6"/>
  <c r="K25" i="6"/>
  <c r="I26" i="6"/>
  <c r="L26" i="5"/>
  <c r="H26" i="4"/>
  <c r="K26" i="4" s="1"/>
  <c r="T26" i="6" s="1"/>
  <c r="AD25" i="6"/>
  <c r="J25" i="6"/>
  <c r="H26" i="6" l="1"/>
  <c r="C25" i="6"/>
  <c r="H26" i="3"/>
  <c r="K26" i="3" s="1"/>
  <c r="S26" i="6" s="1"/>
  <c r="M26" i="5"/>
  <c r="Y26" i="6"/>
  <c r="L26" i="4"/>
  <c r="X26" i="6" s="1"/>
  <c r="B25" i="6"/>
  <c r="H26" i="2"/>
  <c r="K26" i="2" s="1"/>
  <c r="R26" i="6" s="1"/>
  <c r="G26" i="6" l="1"/>
  <c r="L26" i="3"/>
  <c r="AC26" i="6"/>
  <c r="N26" i="5"/>
  <c r="M26" i="4"/>
  <c r="AB26" i="6" s="1"/>
  <c r="F26" i="6"/>
  <c r="L26" i="2"/>
  <c r="G26" i="5" l="1"/>
  <c r="I26" i="5"/>
  <c r="W26" i="6"/>
  <c r="M26" i="3"/>
  <c r="AG26" i="6"/>
  <c r="M26" i="6"/>
  <c r="N26" i="4"/>
  <c r="M26" i="2"/>
  <c r="V26" i="6"/>
  <c r="G31" i="4" l="1"/>
  <c r="I26" i="4"/>
  <c r="L26" i="6" s="1"/>
  <c r="AF26" i="6"/>
  <c r="D26" i="6"/>
  <c r="AA26" i="6"/>
  <c r="N26" i="3"/>
  <c r="E26" i="6"/>
  <c r="H27" i="5"/>
  <c r="K27" i="5" s="1"/>
  <c r="U27" i="6" s="1"/>
  <c r="N26" i="2"/>
  <c r="Z26" i="6"/>
  <c r="G26" i="2" l="1"/>
  <c r="I26" i="2"/>
  <c r="G26" i="3"/>
  <c r="I26" i="3"/>
  <c r="AE26" i="6"/>
  <c r="K26" i="6"/>
  <c r="I27" i="6"/>
  <c r="L27" i="5"/>
  <c r="H27" i="4"/>
  <c r="K27" i="4" s="1"/>
  <c r="T27" i="6" s="1"/>
  <c r="AD26" i="6"/>
  <c r="J26" i="6"/>
  <c r="H27" i="6" l="1"/>
  <c r="C26" i="6"/>
  <c r="H27" i="3"/>
  <c r="K27" i="3" s="1"/>
  <c r="S27" i="6" s="1"/>
  <c r="M27" i="5"/>
  <c r="Y27" i="6"/>
  <c r="L27" i="4"/>
  <c r="X27" i="6" s="1"/>
  <c r="B26" i="6"/>
  <c r="H27" i="2"/>
  <c r="K27" i="2" s="1"/>
  <c r="R27" i="6" s="1"/>
  <c r="G27" i="6" l="1"/>
  <c r="L27" i="3"/>
  <c r="N27" i="5"/>
  <c r="AC27" i="6"/>
  <c r="M27" i="4"/>
  <c r="AB27" i="6" s="1"/>
  <c r="L27" i="2"/>
  <c r="F27" i="6"/>
  <c r="G27" i="5" l="1"/>
  <c r="I27" i="5"/>
  <c r="W27" i="6"/>
  <c r="M27" i="3"/>
  <c r="AG27" i="6"/>
  <c r="M27" i="6"/>
  <c r="N27" i="4"/>
  <c r="M27" i="2"/>
  <c r="V27" i="6"/>
  <c r="G32" i="4" l="1"/>
  <c r="I27" i="4"/>
  <c r="L27" i="6" s="1"/>
  <c r="AF27" i="6"/>
  <c r="D27" i="6"/>
  <c r="AA27" i="6"/>
  <c r="N27" i="3"/>
  <c r="H28" i="5"/>
  <c r="K28" i="5" s="1"/>
  <c r="U28" i="6" s="1"/>
  <c r="E27" i="6"/>
  <c r="N27" i="2"/>
  <c r="Z27" i="6"/>
  <c r="G27" i="2" l="1"/>
  <c r="I27" i="2"/>
  <c r="G27" i="3"/>
  <c r="I27" i="3"/>
  <c r="AE27" i="6"/>
  <c r="K27" i="6"/>
  <c r="I28" i="6"/>
  <c r="L28" i="5"/>
  <c r="H28" i="4"/>
  <c r="K28" i="4" s="1"/>
  <c r="T28" i="6" s="1"/>
  <c r="AD27" i="6"/>
  <c r="J27" i="6"/>
  <c r="H28" i="6" l="1"/>
  <c r="C27" i="6"/>
  <c r="H28" i="3"/>
  <c r="K28" i="3" s="1"/>
  <c r="S28" i="6" s="1"/>
  <c r="M28" i="5"/>
  <c r="Y28" i="6"/>
  <c r="L28" i="4"/>
  <c r="X28" i="6" s="1"/>
  <c r="B27" i="6"/>
  <c r="H28" i="2"/>
  <c r="K28" i="2" s="1"/>
  <c r="R28" i="6" s="1"/>
  <c r="G28" i="6" l="1"/>
  <c r="L28" i="3"/>
  <c r="AC28" i="6"/>
  <c r="N28" i="5"/>
  <c r="M28" i="4"/>
  <c r="AB28" i="6" s="1"/>
  <c r="F28" i="6"/>
  <c r="L28" i="2"/>
  <c r="G28" i="5" l="1"/>
  <c r="I28" i="5"/>
  <c r="W28" i="6"/>
  <c r="M28" i="3"/>
  <c r="AG28" i="6"/>
  <c r="M28" i="6"/>
  <c r="N28" i="4"/>
  <c r="M28" i="2"/>
  <c r="V28" i="6"/>
  <c r="G33" i="4" l="1"/>
  <c r="I28" i="4"/>
  <c r="L28" i="6" s="1"/>
  <c r="AF28" i="6"/>
  <c r="D28" i="6"/>
  <c r="AA28" i="6"/>
  <c r="N28" i="3"/>
  <c r="E28" i="6"/>
  <c r="H29" i="5"/>
  <c r="K29" i="5" s="1"/>
  <c r="U29" i="6" s="1"/>
  <c r="N28" i="2"/>
  <c r="Z28" i="6"/>
  <c r="G28" i="2" l="1"/>
  <c r="I28" i="2"/>
  <c r="G28" i="3"/>
  <c r="I28" i="3"/>
  <c r="AE28" i="6"/>
  <c r="K28" i="6"/>
  <c r="L29" i="5"/>
  <c r="I29" i="6"/>
  <c r="H29" i="4"/>
  <c r="K29" i="4" s="1"/>
  <c r="T29" i="6" s="1"/>
  <c r="AD28" i="6"/>
  <c r="J28" i="6"/>
  <c r="H29" i="6" l="1"/>
  <c r="C28" i="6"/>
  <c r="H29" i="3"/>
  <c r="K29" i="3" s="1"/>
  <c r="S29" i="6" s="1"/>
  <c r="M29" i="5"/>
  <c r="Y29" i="6"/>
  <c r="L29" i="4"/>
  <c r="X29" i="6" s="1"/>
  <c r="B28" i="6"/>
  <c r="H29" i="2"/>
  <c r="K29" i="2" s="1"/>
  <c r="R29" i="6" s="1"/>
  <c r="G29" i="6" l="1"/>
  <c r="L29" i="3"/>
  <c r="AC29" i="6"/>
  <c r="N29" i="5"/>
  <c r="M29" i="4"/>
  <c r="AB29" i="6" s="1"/>
  <c r="F29" i="6"/>
  <c r="L29" i="2"/>
  <c r="G29" i="5" l="1"/>
  <c r="I29" i="5"/>
  <c r="W29" i="6"/>
  <c r="M29" i="3"/>
  <c r="AG29" i="6"/>
  <c r="M29" i="6"/>
  <c r="N29" i="4"/>
  <c r="M29" i="2"/>
  <c r="V29" i="6"/>
  <c r="G34" i="4" l="1"/>
  <c r="I29" i="4"/>
  <c r="L29" i="6" s="1"/>
  <c r="AF29" i="6"/>
  <c r="D29" i="6"/>
  <c r="AA29" i="6"/>
  <c r="N29" i="3"/>
  <c r="E29" i="6"/>
  <c r="H30" i="5"/>
  <c r="K30" i="5" s="1"/>
  <c r="U30" i="6" s="1"/>
  <c r="N29" i="2"/>
  <c r="Z29" i="6"/>
  <c r="G29" i="2" l="1"/>
  <c r="I29" i="2"/>
  <c r="G29" i="3"/>
  <c r="I29" i="3"/>
  <c r="AE29" i="6"/>
  <c r="K29" i="6"/>
  <c r="L30" i="5"/>
  <c r="I30" i="6"/>
  <c r="H30" i="4"/>
  <c r="K30" i="4" s="1"/>
  <c r="T30" i="6" s="1"/>
  <c r="AD29" i="6"/>
  <c r="H30" i="6" l="1"/>
  <c r="C29" i="6"/>
  <c r="H30" i="3"/>
  <c r="K30" i="3" s="1"/>
  <c r="S30" i="6" s="1"/>
  <c r="Y30" i="6"/>
  <c r="M30" i="5"/>
  <c r="L30" i="4"/>
  <c r="X30" i="6" s="1"/>
  <c r="J29" i="6"/>
  <c r="B29" i="6"/>
  <c r="H30" i="2"/>
  <c r="K30" i="2" s="1"/>
  <c r="R30" i="6" s="1"/>
  <c r="G30" i="6" l="1"/>
  <c r="L30" i="3"/>
  <c r="AC30" i="6"/>
  <c r="N30" i="5"/>
  <c r="M30" i="4"/>
  <c r="AB30" i="6" s="1"/>
  <c r="F30" i="6"/>
  <c r="L30" i="2"/>
  <c r="G30" i="5" l="1"/>
  <c r="I30" i="5"/>
  <c r="W30" i="6"/>
  <c r="M30" i="3"/>
  <c r="AG30" i="6"/>
  <c r="M30" i="6"/>
  <c r="N30" i="4"/>
  <c r="M30" i="2"/>
  <c r="V30" i="6"/>
  <c r="G35" i="4" l="1"/>
  <c r="I30" i="4"/>
  <c r="L30" i="6" s="1"/>
  <c r="AF30" i="6"/>
  <c r="D30" i="6"/>
  <c r="AA30" i="6"/>
  <c r="N30" i="3"/>
  <c r="H31" i="5"/>
  <c r="K31" i="5" s="1"/>
  <c r="U31" i="6" s="1"/>
  <c r="E30" i="6"/>
  <c r="D34" i="6"/>
  <c r="N30" i="2"/>
  <c r="Z30" i="6"/>
  <c r="G30" i="2" l="1"/>
  <c r="I30" i="2"/>
  <c r="G30" i="3"/>
  <c r="I30" i="3"/>
  <c r="AE30" i="6"/>
  <c r="K30" i="6"/>
  <c r="L31" i="5"/>
  <c r="I31" i="6"/>
  <c r="H31" i="4"/>
  <c r="K31" i="4" s="1"/>
  <c r="T31" i="6" s="1"/>
  <c r="J30" i="6"/>
  <c r="AD30" i="6"/>
  <c r="H31" i="6" l="1"/>
  <c r="C30" i="6"/>
  <c r="H31" i="3"/>
  <c r="K31" i="3" s="1"/>
  <c r="S31" i="6" s="1"/>
  <c r="M31" i="5"/>
  <c r="Y31" i="6"/>
  <c r="L31" i="4"/>
  <c r="X31" i="6" s="1"/>
  <c r="H31" i="2"/>
  <c r="K31" i="2" s="1"/>
  <c r="R31" i="6" s="1"/>
  <c r="B30" i="6"/>
  <c r="G31" i="6" l="1"/>
  <c r="L31" i="3"/>
  <c r="AC31" i="6"/>
  <c r="N31" i="5"/>
  <c r="M31" i="4"/>
  <c r="AB31" i="6" s="1"/>
  <c r="F31" i="6"/>
  <c r="L31" i="2"/>
  <c r="G31" i="5" l="1"/>
  <c r="I31" i="5"/>
  <c r="W31" i="6"/>
  <c r="M31" i="3"/>
  <c r="AG31" i="6"/>
  <c r="M31" i="6"/>
  <c r="N31" i="4"/>
  <c r="M31" i="2"/>
  <c r="V31" i="6"/>
  <c r="G36" i="4" l="1"/>
  <c r="I31" i="4"/>
  <c r="AF31" i="6"/>
  <c r="D31" i="6"/>
  <c r="AA31" i="6"/>
  <c r="N31" i="3"/>
  <c r="H32" i="5"/>
  <c r="K32" i="5" s="1"/>
  <c r="U32" i="6" s="1"/>
  <c r="E31" i="6"/>
  <c r="D35" i="6"/>
  <c r="L31" i="6"/>
  <c r="N31" i="2"/>
  <c r="Z31" i="6"/>
  <c r="G31" i="2" l="1"/>
  <c r="B31" i="6" s="1"/>
  <c r="I31" i="2"/>
  <c r="G31" i="3"/>
  <c r="I31" i="3"/>
  <c r="AE31" i="6"/>
  <c r="K31" i="6"/>
  <c r="L32" i="5"/>
  <c r="I32" i="6"/>
  <c r="H32" i="4"/>
  <c r="K32" i="4" s="1"/>
  <c r="T32" i="6" s="1"/>
  <c r="AD31" i="6"/>
  <c r="H32" i="6" l="1"/>
  <c r="C31" i="6"/>
  <c r="H32" i="3"/>
  <c r="K32" i="3" s="1"/>
  <c r="S32" i="6" s="1"/>
  <c r="Y32" i="6"/>
  <c r="M32" i="5"/>
  <c r="L32" i="4"/>
  <c r="X32" i="6" s="1"/>
  <c r="H32" i="2"/>
  <c r="K32" i="2" s="1"/>
  <c r="R32" i="6" s="1"/>
  <c r="J31" i="6"/>
  <c r="G32" i="6" l="1"/>
  <c r="L32" i="3"/>
  <c r="AC32" i="6"/>
  <c r="N32" i="5"/>
  <c r="M32" i="4"/>
  <c r="AB32" i="6" s="1"/>
  <c r="F32" i="6"/>
  <c r="L32" i="2"/>
  <c r="G32" i="5" l="1"/>
  <c r="I32" i="5"/>
  <c r="W32" i="6"/>
  <c r="M32" i="3"/>
  <c r="AG32" i="6"/>
  <c r="M32" i="6"/>
  <c r="N32" i="4"/>
  <c r="M32" i="2"/>
  <c r="V32" i="6"/>
  <c r="G37" i="4" l="1"/>
  <c r="I32" i="4"/>
  <c r="L32" i="6" s="1"/>
  <c r="AF32" i="6"/>
  <c r="D32" i="6"/>
  <c r="AA32" i="6"/>
  <c r="N32" i="3"/>
  <c r="H33" i="5"/>
  <c r="K33" i="5" s="1"/>
  <c r="U33" i="6" s="1"/>
  <c r="E32" i="6"/>
  <c r="N32" i="2"/>
  <c r="Z32" i="6"/>
  <c r="G32" i="2" l="1"/>
  <c r="I32" i="2"/>
  <c r="G32" i="3"/>
  <c r="I32" i="3"/>
  <c r="AE32" i="6"/>
  <c r="K32" i="6"/>
  <c r="L33" i="5"/>
  <c r="I33" i="6"/>
  <c r="H33" i="4"/>
  <c r="K33" i="4" s="1"/>
  <c r="T33" i="6" s="1"/>
  <c r="AD32" i="6"/>
  <c r="J32" i="6"/>
  <c r="H33" i="6" l="1"/>
  <c r="C32" i="6"/>
  <c r="H33" i="3"/>
  <c r="K33" i="3" s="1"/>
  <c r="S33" i="6" s="1"/>
  <c r="M33" i="5"/>
  <c r="Y33" i="6"/>
  <c r="L33" i="4"/>
  <c r="X33" i="6" s="1"/>
  <c r="B32" i="6"/>
  <c r="H33" i="2"/>
  <c r="K33" i="2" s="1"/>
  <c r="R33" i="6" s="1"/>
  <c r="G33" i="6" l="1"/>
  <c r="L33" i="3"/>
  <c r="AC33" i="6"/>
  <c r="N33" i="5"/>
  <c r="M33" i="4"/>
  <c r="AB33" i="6" s="1"/>
  <c r="F33" i="6"/>
  <c r="L33" i="2"/>
  <c r="G33" i="5" l="1"/>
  <c r="I33" i="5"/>
  <c r="W33" i="6"/>
  <c r="M33" i="3"/>
  <c r="AG33" i="6"/>
  <c r="M33" i="6"/>
  <c r="N33" i="4"/>
  <c r="M33" i="2"/>
  <c r="V33" i="6"/>
  <c r="G38" i="4" l="1"/>
  <c r="I33" i="4"/>
  <c r="AF33" i="6"/>
  <c r="D33" i="6"/>
  <c r="AA33" i="6"/>
  <c r="N33" i="3"/>
  <c r="H34" i="5"/>
  <c r="K34" i="5" s="1"/>
  <c r="U34" i="6" s="1"/>
  <c r="E33" i="6"/>
  <c r="D37" i="6"/>
  <c r="L33" i="6"/>
  <c r="N33" i="2"/>
  <c r="Z33" i="6"/>
  <c r="G33" i="2" l="1"/>
  <c r="I33" i="2"/>
  <c r="G33" i="3"/>
  <c r="I33" i="3"/>
  <c r="AE33" i="6"/>
  <c r="K33" i="6"/>
  <c r="L34" i="5"/>
  <c r="I34" i="6"/>
  <c r="H34" i="4"/>
  <c r="K34" i="4" s="1"/>
  <c r="T34" i="6" s="1"/>
  <c r="AD33" i="6"/>
  <c r="J33" i="6"/>
  <c r="H34" i="6" l="1"/>
  <c r="C33" i="6"/>
  <c r="H34" i="3"/>
  <c r="K34" i="3" s="1"/>
  <c r="S34" i="6" s="1"/>
  <c r="Y34" i="6"/>
  <c r="M34" i="5"/>
  <c r="L34" i="4"/>
  <c r="X34" i="6" s="1"/>
  <c r="B33" i="6"/>
  <c r="H34" i="2"/>
  <c r="K34" i="2" s="1"/>
  <c r="R34" i="6" s="1"/>
  <c r="G34" i="6" l="1"/>
  <c r="L34" i="3"/>
  <c r="AC34" i="6"/>
  <c r="N34" i="5"/>
  <c r="M34" i="4"/>
  <c r="AB34" i="6" s="1"/>
  <c r="F34" i="6"/>
  <c r="L34" i="2"/>
  <c r="G34" i="5" l="1"/>
  <c r="I34" i="5"/>
  <c r="W34" i="6"/>
  <c r="M34" i="3"/>
  <c r="AG34" i="6"/>
  <c r="M34" i="6"/>
  <c r="N34" i="4"/>
  <c r="M34" i="2"/>
  <c r="V34" i="6"/>
  <c r="G39" i="4" l="1"/>
  <c r="I34" i="4"/>
  <c r="L34" i="6" s="1"/>
  <c r="AF34" i="6"/>
  <c r="D38" i="6"/>
  <c r="AA34" i="6"/>
  <c r="N34" i="3"/>
  <c r="E34" i="6"/>
  <c r="H35" i="5"/>
  <c r="K35" i="5" s="1"/>
  <c r="U35" i="6" s="1"/>
  <c r="N34" i="2"/>
  <c r="Z34" i="6"/>
  <c r="G34" i="2" l="1"/>
  <c r="I34" i="2"/>
  <c r="G34" i="3"/>
  <c r="I34" i="3"/>
  <c r="AE34" i="6"/>
  <c r="K34" i="6"/>
  <c r="L35" i="5"/>
  <c r="I35" i="6"/>
  <c r="H35" i="4"/>
  <c r="K35" i="4" s="1"/>
  <c r="T35" i="6" s="1"/>
  <c r="AD34" i="6"/>
  <c r="J34" i="6"/>
  <c r="H35" i="6" l="1"/>
  <c r="C34" i="6"/>
  <c r="H35" i="3"/>
  <c r="K35" i="3" s="1"/>
  <c r="S35" i="6" s="1"/>
  <c r="M35" i="5"/>
  <c r="Y35" i="6"/>
  <c r="L35" i="4"/>
  <c r="X35" i="6" s="1"/>
  <c r="B34" i="6"/>
  <c r="H35" i="2"/>
  <c r="K35" i="2" s="1"/>
  <c r="R35" i="6" s="1"/>
  <c r="G35" i="6" l="1"/>
  <c r="L35" i="3"/>
  <c r="N35" i="5"/>
  <c r="AC35" i="6"/>
  <c r="M35" i="4"/>
  <c r="AB35" i="6" s="1"/>
  <c r="F35" i="6"/>
  <c r="L35" i="2"/>
  <c r="G35" i="5" l="1"/>
  <c r="I35" i="5"/>
  <c r="W35" i="6"/>
  <c r="M35" i="3"/>
  <c r="AG35" i="6"/>
  <c r="M35" i="6"/>
  <c r="N35" i="4"/>
  <c r="M35" i="2"/>
  <c r="V35" i="6"/>
  <c r="G40" i="4" l="1"/>
  <c r="I35" i="4"/>
  <c r="AF35" i="6"/>
  <c r="AA35" i="6"/>
  <c r="N35" i="3"/>
  <c r="H36" i="5"/>
  <c r="K36" i="5" s="1"/>
  <c r="U36" i="6" s="1"/>
  <c r="E35" i="6"/>
  <c r="L35" i="6"/>
  <c r="N35" i="2"/>
  <c r="Z35" i="6"/>
  <c r="G35" i="2" l="1"/>
  <c r="I35" i="2"/>
  <c r="G35" i="3"/>
  <c r="I35" i="3"/>
  <c r="AE35" i="6"/>
  <c r="K35" i="6"/>
  <c r="L36" i="5"/>
  <c r="I36" i="6"/>
  <c r="H36" i="4"/>
  <c r="K36" i="4" s="1"/>
  <c r="T36" i="6" s="1"/>
  <c r="AD35" i="6"/>
  <c r="J35" i="6"/>
  <c r="H36" i="6" l="1"/>
  <c r="C35" i="6"/>
  <c r="H36" i="3"/>
  <c r="K36" i="3" s="1"/>
  <c r="S36" i="6" s="1"/>
  <c r="M36" i="5"/>
  <c r="Y36" i="6"/>
  <c r="L36" i="4"/>
  <c r="X36" i="6" s="1"/>
  <c r="B35" i="6"/>
  <c r="H36" i="2"/>
  <c r="K36" i="2" s="1"/>
  <c r="R36" i="6" s="1"/>
  <c r="G36" i="6" l="1"/>
  <c r="L36" i="3"/>
  <c r="N36" i="5"/>
  <c r="AC36" i="6"/>
  <c r="M36" i="4"/>
  <c r="AB36" i="6" s="1"/>
  <c r="F36" i="6"/>
  <c r="L36" i="2"/>
  <c r="G36" i="5" l="1"/>
  <c r="I36" i="5"/>
  <c r="W36" i="6"/>
  <c r="M36" i="3"/>
  <c r="AG36" i="6"/>
  <c r="M36" i="6"/>
  <c r="N36" i="4"/>
  <c r="M36" i="2"/>
  <c r="V36" i="6"/>
  <c r="G41" i="4" l="1"/>
  <c r="I36" i="4"/>
  <c r="AF36" i="6"/>
  <c r="D36" i="6"/>
  <c r="AA36" i="6"/>
  <c r="N36" i="3"/>
  <c r="H37" i="5"/>
  <c r="K37" i="5" s="1"/>
  <c r="U37" i="6" s="1"/>
  <c r="E36" i="6"/>
  <c r="D40" i="6"/>
  <c r="L36" i="6"/>
  <c r="N36" i="2"/>
  <c r="Z36" i="6"/>
  <c r="G36" i="2" l="1"/>
  <c r="I36" i="2"/>
  <c r="G36" i="3"/>
  <c r="I36" i="3"/>
  <c r="AE36" i="6"/>
  <c r="K36" i="6"/>
  <c r="I37" i="6"/>
  <c r="L37" i="5"/>
  <c r="H37" i="4"/>
  <c r="K37" i="4" s="1"/>
  <c r="T37" i="6" s="1"/>
  <c r="AD36" i="6"/>
  <c r="J36" i="6"/>
  <c r="H37" i="6" l="1"/>
  <c r="C36" i="6"/>
  <c r="H37" i="3"/>
  <c r="K37" i="3" s="1"/>
  <c r="S37" i="6" s="1"/>
  <c r="M37" i="5"/>
  <c r="Y37" i="6"/>
  <c r="L37" i="4"/>
  <c r="X37" i="6" s="1"/>
  <c r="B36" i="6"/>
  <c r="H37" i="2"/>
  <c r="K37" i="2" s="1"/>
  <c r="R37" i="6" s="1"/>
  <c r="G37" i="6" l="1"/>
  <c r="L37" i="3"/>
  <c r="N37" i="5"/>
  <c r="AC37" i="6"/>
  <c r="M37" i="4"/>
  <c r="AB37" i="6" s="1"/>
  <c r="F37" i="6"/>
  <c r="L37" i="2"/>
  <c r="G37" i="5" l="1"/>
  <c r="I37" i="5"/>
  <c r="W37" i="6"/>
  <c r="M37" i="3"/>
  <c r="AG37" i="6"/>
  <c r="M37" i="6"/>
  <c r="N37" i="4"/>
  <c r="M37" i="2"/>
  <c r="V37" i="6"/>
  <c r="G42" i="4" l="1"/>
  <c r="I37" i="4"/>
  <c r="L37" i="6" s="1"/>
  <c r="AF37" i="6"/>
  <c r="AA37" i="6"/>
  <c r="N37" i="3"/>
  <c r="H38" i="5"/>
  <c r="K38" i="5" s="1"/>
  <c r="U38" i="6" s="1"/>
  <c r="E37" i="6"/>
  <c r="D41" i="6"/>
  <c r="N37" i="2"/>
  <c r="Z37" i="6"/>
  <c r="G37" i="2" l="1"/>
  <c r="I37" i="2"/>
  <c r="G37" i="3"/>
  <c r="I37" i="3"/>
  <c r="AE37" i="6"/>
  <c r="K37" i="6"/>
  <c r="I38" i="6"/>
  <c r="L38" i="5"/>
  <c r="H38" i="4"/>
  <c r="K38" i="4" s="1"/>
  <c r="T38" i="6" s="1"/>
  <c r="AD37" i="6"/>
  <c r="J37" i="6"/>
  <c r="H38" i="6" l="1"/>
  <c r="C37" i="6"/>
  <c r="H38" i="3"/>
  <c r="K38" i="3" s="1"/>
  <c r="S38" i="6" s="1"/>
  <c r="M38" i="5"/>
  <c r="Y38" i="6"/>
  <c r="L38" i="4"/>
  <c r="X38" i="6" s="1"/>
  <c r="B37" i="6"/>
  <c r="H38" i="2"/>
  <c r="K38" i="2" s="1"/>
  <c r="R38" i="6" s="1"/>
  <c r="G38" i="6" l="1"/>
  <c r="L38" i="3"/>
  <c r="AC38" i="6"/>
  <c r="N38" i="5"/>
  <c r="M38" i="4"/>
  <c r="AB38" i="6" s="1"/>
  <c r="F38" i="6"/>
  <c r="L38" i="2"/>
  <c r="G38" i="5" l="1"/>
  <c r="I38" i="5"/>
  <c r="W38" i="6"/>
  <c r="M38" i="3"/>
  <c r="AG38" i="6"/>
  <c r="M38" i="6"/>
  <c r="N38" i="4"/>
  <c r="M38" i="2"/>
  <c r="V38" i="6"/>
  <c r="G43" i="4" l="1"/>
  <c r="I38" i="4"/>
  <c r="AF38" i="6"/>
  <c r="AA38" i="6"/>
  <c r="N38" i="3"/>
  <c r="E38" i="6"/>
  <c r="H39" i="5"/>
  <c r="K39" i="5" s="1"/>
  <c r="U39" i="6" s="1"/>
  <c r="L38" i="6"/>
  <c r="N38" i="2"/>
  <c r="Z38" i="6"/>
  <c r="G38" i="2" l="1"/>
  <c r="I38" i="2"/>
  <c r="G38" i="3"/>
  <c r="I38" i="3"/>
  <c r="AE38" i="6"/>
  <c r="K38" i="6"/>
  <c r="L39" i="5"/>
  <c r="I39" i="6"/>
  <c r="H39" i="4"/>
  <c r="K39" i="4" s="1"/>
  <c r="T39" i="6" s="1"/>
  <c r="AD38" i="6"/>
  <c r="J38" i="6"/>
  <c r="H39" i="6" l="1"/>
  <c r="C38" i="6"/>
  <c r="H39" i="3"/>
  <c r="K39" i="3" s="1"/>
  <c r="S39" i="6" s="1"/>
  <c r="Y39" i="6"/>
  <c r="M39" i="5"/>
  <c r="L39" i="4"/>
  <c r="X39" i="6" s="1"/>
  <c r="B38" i="6"/>
  <c r="H39" i="2"/>
  <c r="K39" i="2" s="1"/>
  <c r="R39" i="6" s="1"/>
  <c r="G39" i="6" l="1"/>
  <c r="L39" i="3"/>
  <c r="AC39" i="6"/>
  <c r="N39" i="5"/>
  <c r="M39" i="4"/>
  <c r="AB39" i="6" s="1"/>
  <c r="F39" i="6"/>
  <c r="L39" i="2"/>
  <c r="G39" i="5" l="1"/>
  <c r="I39" i="5"/>
  <c r="W39" i="6"/>
  <c r="M39" i="3"/>
  <c r="AG39" i="6"/>
  <c r="M39" i="6"/>
  <c r="N39" i="4"/>
  <c r="M39" i="2"/>
  <c r="V39" i="6"/>
  <c r="G44" i="4" l="1"/>
  <c r="I39" i="4"/>
  <c r="AF39" i="6"/>
  <c r="D39" i="6"/>
  <c r="AA39" i="6"/>
  <c r="N39" i="3"/>
  <c r="E39" i="6"/>
  <c r="H40" i="5"/>
  <c r="K40" i="5" s="1"/>
  <c r="U40" i="6" s="1"/>
  <c r="D43" i="6"/>
  <c r="L39" i="6"/>
  <c r="N39" i="2"/>
  <c r="Z39" i="6"/>
  <c r="G39" i="2" l="1"/>
  <c r="I39" i="2"/>
  <c r="G39" i="3"/>
  <c r="I39" i="3"/>
  <c r="AE39" i="6"/>
  <c r="K39" i="6"/>
  <c r="L40" i="5"/>
  <c r="I40" i="6"/>
  <c r="H40" i="4"/>
  <c r="K40" i="4" s="1"/>
  <c r="T40" i="6" s="1"/>
  <c r="AD39" i="6"/>
  <c r="J39" i="6"/>
  <c r="H40" i="6" l="1"/>
  <c r="C39" i="6"/>
  <c r="H40" i="3"/>
  <c r="K40" i="3" s="1"/>
  <c r="S40" i="6" s="1"/>
  <c r="M40" i="5"/>
  <c r="Y40" i="6"/>
  <c r="L40" i="4"/>
  <c r="X40" i="6" s="1"/>
  <c r="B39" i="6"/>
  <c r="H40" i="2"/>
  <c r="K40" i="2" s="1"/>
  <c r="R40" i="6" s="1"/>
  <c r="G40" i="6" l="1"/>
  <c r="L40" i="3"/>
  <c r="AC40" i="6"/>
  <c r="N40" i="5"/>
  <c r="M40" i="4"/>
  <c r="AB40" i="6" s="1"/>
  <c r="F40" i="6"/>
  <c r="L40" i="2"/>
  <c r="G40" i="5" l="1"/>
  <c r="I40" i="5"/>
  <c r="W40" i="6"/>
  <c r="M40" i="3"/>
  <c r="AG40" i="6"/>
  <c r="M40" i="6"/>
  <c r="N40" i="4"/>
  <c r="M40" i="2"/>
  <c r="V40" i="6"/>
  <c r="G45" i="4" l="1"/>
  <c r="I40" i="4"/>
  <c r="L40" i="6" s="1"/>
  <c r="AF40" i="6"/>
  <c r="D44" i="6"/>
  <c r="AA40" i="6"/>
  <c r="N40" i="3"/>
  <c r="H41" i="5"/>
  <c r="K41" i="5" s="1"/>
  <c r="U41" i="6" s="1"/>
  <c r="E40" i="6"/>
  <c r="N40" i="2"/>
  <c r="Z40" i="6"/>
  <c r="G40" i="2" l="1"/>
  <c r="I40" i="2"/>
  <c r="G40" i="3"/>
  <c r="I40" i="3"/>
  <c r="AE40" i="6"/>
  <c r="K40" i="6"/>
  <c r="L41" i="5"/>
  <c r="I41" i="6"/>
  <c r="H41" i="4"/>
  <c r="K41" i="4" s="1"/>
  <c r="T41" i="6" s="1"/>
  <c r="AD40" i="6"/>
  <c r="J40" i="6"/>
  <c r="H41" i="6" l="1"/>
  <c r="C40" i="6"/>
  <c r="H41" i="3"/>
  <c r="K41" i="3" s="1"/>
  <c r="S41" i="6" s="1"/>
  <c r="Y41" i="6"/>
  <c r="M41" i="5"/>
  <c r="L41" i="4"/>
  <c r="X41" i="6" s="1"/>
  <c r="B40" i="6"/>
  <c r="H41" i="2"/>
  <c r="K41" i="2" s="1"/>
  <c r="R41" i="6" s="1"/>
  <c r="G41" i="6" l="1"/>
  <c r="L41" i="3"/>
  <c r="N41" i="5"/>
  <c r="AC41" i="6"/>
  <c r="M41" i="4"/>
  <c r="AB41" i="6" s="1"/>
  <c r="F41" i="6"/>
  <c r="L41" i="2"/>
  <c r="G41" i="5" l="1"/>
  <c r="I41" i="5"/>
  <c r="W41" i="6"/>
  <c r="M41" i="3"/>
  <c r="AG41" i="6"/>
  <c r="M41" i="6"/>
  <c r="N41" i="4"/>
  <c r="M41" i="2"/>
  <c r="V41" i="6"/>
  <c r="G46" i="4" l="1"/>
  <c r="I41" i="4"/>
  <c r="L41" i="6" s="1"/>
  <c r="AF41" i="6"/>
  <c r="AA41" i="6"/>
  <c r="N41" i="3"/>
  <c r="E41" i="6"/>
  <c r="H42" i="5"/>
  <c r="K42" i="5" s="1"/>
  <c r="U42" i="6" s="1"/>
  <c r="N41" i="2"/>
  <c r="Z41" i="6"/>
  <c r="G41" i="2" l="1"/>
  <c r="I41" i="2"/>
  <c r="G41" i="3"/>
  <c r="I41" i="3"/>
  <c r="AE41" i="6"/>
  <c r="K41" i="6"/>
  <c r="L42" i="5"/>
  <c r="I42" i="6"/>
  <c r="H42" i="4"/>
  <c r="K42" i="4" s="1"/>
  <c r="T42" i="6" s="1"/>
  <c r="AD41" i="6"/>
  <c r="J41" i="6"/>
  <c r="H42" i="6" l="1"/>
  <c r="C41" i="6"/>
  <c r="H42" i="3"/>
  <c r="K42" i="3" s="1"/>
  <c r="S42" i="6" s="1"/>
  <c r="Y42" i="6"/>
  <c r="M42" i="5"/>
  <c r="L42" i="4"/>
  <c r="X42" i="6" s="1"/>
  <c r="B41" i="6"/>
  <c r="H42" i="2"/>
  <c r="K42" i="2" s="1"/>
  <c r="R42" i="6" s="1"/>
  <c r="G42" i="6" l="1"/>
  <c r="L42" i="3"/>
  <c r="N42" i="5"/>
  <c r="AC42" i="6"/>
  <c r="M42" i="4"/>
  <c r="AB42" i="6" s="1"/>
  <c r="F42" i="6"/>
  <c r="L42" i="2"/>
  <c r="G42" i="5" l="1"/>
  <c r="I42" i="5"/>
  <c r="M42" i="6" s="1"/>
  <c r="W42" i="6"/>
  <c r="M42" i="3"/>
  <c r="AG42" i="6"/>
  <c r="N42" i="4"/>
  <c r="M42" i="2"/>
  <c r="V42" i="6"/>
  <c r="G47" i="4" l="1"/>
  <c r="I42" i="4"/>
  <c r="AF42" i="6"/>
  <c r="D42" i="6"/>
  <c r="AA42" i="6"/>
  <c r="N42" i="3"/>
  <c r="E42" i="6"/>
  <c r="H43" i="5"/>
  <c r="K43" i="5" s="1"/>
  <c r="U43" i="6" s="1"/>
  <c r="D46" i="6"/>
  <c r="L42" i="6"/>
  <c r="N42" i="2"/>
  <c r="Z42" i="6"/>
  <c r="G42" i="2" l="1"/>
  <c r="I42" i="2"/>
  <c r="G42" i="3"/>
  <c r="I42" i="3"/>
  <c r="AE42" i="6"/>
  <c r="K42" i="6"/>
  <c r="L43" i="5"/>
  <c r="I43" i="6"/>
  <c r="H43" i="4"/>
  <c r="K43" i="4" s="1"/>
  <c r="T43" i="6" s="1"/>
  <c r="AD42" i="6"/>
  <c r="J42" i="6"/>
  <c r="H43" i="6" l="1"/>
  <c r="C42" i="6"/>
  <c r="H43" i="3"/>
  <c r="K43" i="3" s="1"/>
  <c r="S43" i="6" s="1"/>
  <c r="Y43" i="6"/>
  <c r="M43" i="5"/>
  <c r="L43" i="4"/>
  <c r="X43" i="6" s="1"/>
  <c r="B42" i="6"/>
  <c r="H43" i="2"/>
  <c r="K43" i="2" s="1"/>
  <c r="R43" i="6" s="1"/>
  <c r="G43" i="6" l="1"/>
  <c r="L43" i="3"/>
  <c r="N43" i="5"/>
  <c r="AC43" i="6"/>
  <c r="M43" i="4"/>
  <c r="AB43" i="6" s="1"/>
  <c r="F43" i="6"/>
  <c r="L43" i="2"/>
  <c r="G43" i="5" l="1"/>
  <c r="I43" i="5"/>
  <c r="W43" i="6"/>
  <c r="M43" i="3"/>
  <c r="AG43" i="6"/>
  <c r="M43" i="6"/>
  <c r="N43" i="4"/>
  <c r="M43" i="2"/>
  <c r="V43" i="6"/>
  <c r="G48" i="4" l="1"/>
  <c r="I43" i="4"/>
  <c r="L43" i="6" s="1"/>
  <c r="AF43" i="6"/>
  <c r="AA43" i="6"/>
  <c r="N43" i="3"/>
  <c r="E43" i="6"/>
  <c r="H44" i="5"/>
  <c r="K44" i="5" s="1"/>
  <c r="U44" i="6" s="1"/>
  <c r="D47" i="6"/>
  <c r="N43" i="2"/>
  <c r="Z43" i="6"/>
  <c r="G43" i="2" l="1"/>
  <c r="I43" i="2"/>
  <c r="G43" i="3"/>
  <c r="I43" i="3"/>
  <c r="AE43" i="6"/>
  <c r="K43" i="6"/>
  <c r="I44" i="6"/>
  <c r="L44" i="5"/>
  <c r="H44" i="4"/>
  <c r="K44" i="4" s="1"/>
  <c r="T44" i="6" s="1"/>
  <c r="AD43" i="6"/>
  <c r="J43" i="6"/>
  <c r="H44" i="6" l="1"/>
  <c r="C43" i="6"/>
  <c r="H44" i="3"/>
  <c r="K44" i="3" s="1"/>
  <c r="S44" i="6" s="1"/>
  <c r="Y44" i="6"/>
  <c r="M44" i="5"/>
  <c r="L44" i="4"/>
  <c r="X44" i="6" s="1"/>
  <c r="B43" i="6"/>
  <c r="H44" i="2"/>
  <c r="K44" i="2" s="1"/>
  <c r="R44" i="6" s="1"/>
  <c r="G44" i="6" l="1"/>
  <c r="L44" i="3"/>
  <c r="AC44" i="6"/>
  <c r="N44" i="5"/>
  <c r="M44" i="4"/>
  <c r="AB44" i="6" s="1"/>
  <c r="F44" i="6"/>
  <c r="L44" i="2"/>
  <c r="G44" i="5" l="1"/>
  <c r="I44" i="5"/>
  <c r="W44" i="6"/>
  <c r="M44" i="3"/>
  <c r="AG44" i="6"/>
  <c r="M44" i="6"/>
  <c r="N44" i="4"/>
  <c r="M44" i="2"/>
  <c r="V44" i="6"/>
  <c r="G49" i="4" l="1"/>
  <c r="I44" i="4"/>
  <c r="AF44" i="6"/>
  <c r="AA44" i="6"/>
  <c r="N44" i="3"/>
  <c r="E44" i="6"/>
  <c r="H45" i="5"/>
  <c r="K45" i="5" s="1"/>
  <c r="U45" i="6" s="1"/>
  <c r="L44" i="6"/>
  <c r="N44" i="2"/>
  <c r="Z44" i="6"/>
  <c r="G44" i="2" l="1"/>
  <c r="I44" i="2"/>
  <c r="G44" i="3"/>
  <c r="I44" i="3"/>
  <c r="AE44" i="6"/>
  <c r="K44" i="6"/>
  <c r="I45" i="6"/>
  <c r="L45" i="5"/>
  <c r="H45" i="4"/>
  <c r="K45" i="4" s="1"/>
  <c r="T45" i="6" s="1"/>
  <c r="AD44" i="6"/>
  <c r="J44" i="6"/>
  <c r="H45" i="6" l="1"/>
  <c r="C44" i="6"/>
  <c r="H45" i="3"/>
  <c r="K45" i="3" s="1"/>
  <c r="S45" i="6" s="1"/>
  <c r="Y45" i="6"/>
  <c r="M45" i="5"/>
  <c r="L45" i="4"/>
  <c r="X45" i="6" s="1"/>
  <c r="B44" i="6"/>
  <c r="H45" i="2"/>
  <c r="K45" i="2" s="1"/>
  <c r="R45" i="6" s="1"/>
  <c r="G45" i="6" l="1"/>
  <c r="L45" i="3"/>
  <c r="AC45" i="6"/>
  <c r="N45" i="5"/>
  <c r="M45" i="4"/>
  <c r="AB45" i="6" s="1"/>
  <c r="L45" i="2"/>
  <c r="F45" i="6"/>
  <c r="G45" i="5" l="1"/>
  <c r="I45" i="5"/>
  <c r="M45" i="6" s="1"/>
  <c r="W45" i="6"/>
  <c r="M45" i="3"/>
  <c r="AG45" i="6"/>
  <c r="N45" i="4"/>
  <c r="M45" i="2"/>
  <c r="V45" i="6"/>
  <c r="G50" i="4" l="1"/>
  <c r="I45" i="4"/>
  <c r="AF45" i="6"/>
  <c r="D45" i="6"/>
  <c r="AA45" i="6"/>
  <c r="N45" i="3"/>
  <c r="E45" i="6"/>
  <c r="H46" i="5"/>
  <c r="K46" i="5" s="1"/>
  <c r="U46" i="6" s="1"/>
  <c r="D49" i="6"/>
  <c r="L45" i="6"/>
  <c r="N45" i="2"/>
  <c r="Z45" i="6"/>
  <c r="G45" i="2" l="1"/>
  <c r="I45" i="2"/>
  <c r="G45" i="3"/>
  <c r="I45" i="3"/>
  <c r="AE45" i="6"/>
  <c r="K45" i="6"/>
  <c r="L46" i="5"/>
  <c r="I46" i="6"/>
  <c r="H46" i="4"/>
  <c r="K46" i="4" s="1"/>
  <c r="T46" i="6" s="1"/>
  <c r="AD45" i="6"/>
  <c r="J45" i="6"/>
  <c r="H46" i="6" l="1"/>
  <c r="C45" i="6"/>
  <c r="H46" i="3"/>
  <c r="K46" i="3" s="1"/>
  <c r="S46" i="6" s="1"/>
  <c r="M46" i="5"/>
  <c r="Y46" i="6"/>
  <c r="L46" i="4"/>
  <c r="X46" i="6" s="1"/>
  <c r="B45" i="6"/>
  <c r="H46" i="2"/>
  <c r="K46" i="2" s="1"/>
  <c r="R46" i="6" s="1"/>
  <c r="G46" i="6" l="1"/>
  <c r="L46" i="3"/>
  <c r="AC46" i="6"/>
  <c r="N46" i="5"/>
  <c r="M46" i="4"/>
  <c r="AB46" i="6" s="1"/>
  <c r="L46" i="2"/>
  <c r="F46" i="6"/>
  <c r="G46" i="5" l="1"/>
  <c r="I46" i="5"/>
  <c r="W46" i="6"/>
  <c r="M46" i="3"/>
  <c r="AG46" i="6"/>
  <c r="M46" i="6"/>
  <c r="N46" i="4"/>
  <c r="M46" i="2"/>
  <c r="V46" i="6"/>
  <c r="G51" i="4" l="1"/>
  <c r="I46" i="4"/>
  <c r="L46" i="6" s="1"/>
  <c r="AF46" i="6"/>
  <c r="AA46" i="6"/>
  <c r="N46" i="3"/>
  <c r="H47" i="5"/>
  <c r="K47" i="5" s="1"/>
  <c r="U47" i="6" s="1"/>
  <c r="E46" i="6"/>
  <c r="D50" i="6"/>
  <c r="N46" i="2"/>
  <c r="Z46" i="6"/>
  <c r="G46" i="2" l="1"/>
  <c r="I46" i="2"/>
  <c r="G46" i="3"/>
  <c r="I46" i="3"/>
  <c r="AE46" i="6"/>
  <c r="K46" i="6"/>
  <c r="I47" i="6"/>
  <c r="L47" i="5"/>
  <c r="H47" i="4"/>
  <c r="K47" i="4" s="1"/>
  <c r="T47" i="6" s="1"/>
  <c r="AD46" i="6"/>
  <c r="J46" i="6"/>
  <c r="H47" i="6" l="1"/>
  <c r="C46" i="6"/>
  <c r="H47" i="3"/>
  <c r="K47" i="3" s="1"/>
  <c r="S47" i="6" s="1"/>
  <c r="Y47" i="6"/>
  <c r="M47" i="5"/>
  <c r="L47" i="4"/>
  <c r="X47" i="6" s="1"/>
  <c r="B46" i="6"/>
  <c r="H47" i="2"/>
  <c r="K47" i="2" s="1"/>
  <c r="R47" i="6" s="1"/>
  <c r="G47" i="6" l="1"/>
  <c r="L47" i="3"/>
  <c r="AC47" i="6"/>
  <c r="N47" i="5"/>
  <c r="M47" i="4"/>
  <c r="AB47" i="6" s="1"/>
  <c r="L47" i="2"/>
  <c r="F47" i="6"/>
  <c r="G47" i="5" l="1"/>
  <c r="I47" i="5"/>
  <c r="W47" i="6"/>
  <c r="M47" i="3"/>
  <c r="AG47" i="6"/>
  <c r="M47" i="6"/>
  <c r="N47" i="4"/>
  <c r="M47" i="2"/>
  <c r="V47" i="6"/>
  <c r="G52" i="4" l="1"/>
  <c r="I47" i="4"/>
  <c r="L47" i="6" s="1"/>
  <c r="AF47" i="6"/>
  <c r="AA47" i="6"/>
  <c r="N47" i="3"/>
  <c r="E47" i="6"/>
  <c r="H48" i="5"/>
  <c r="K48" i="5" s="1"/>
  <c r="U48" i="6" s="1"/>
  <c r="N47" i="2"/>
  <c r="Z47" i="6"/>
  <c r="G47" i="2" l="1"/>
  <c r="I47" i="2"/>
  <c r="G47" i="3"/>
  <c r="I47" i="3"/>
  <c r="AE47" i="6"/>
  <c r="K47" i="6"/>
  <c r="I48" i="6"/>
  <c r="L48" i="5"/>
  <c r="H48" i="4"/>
  <c r="K48" i="4" s="1"/>
  <c r="T48" i="6" s="1"/>
  <c r="AD47" i="6"/>
  <c r="J47" i="6"/>
  <c r="H48" i="6" l="1"/>
  <c r="C47" i="6"/>
  <c r="H48" i="3"/>
  <c r="K48" i="3" s="1"/>
  <c r="S48" i="6" s="1"/>
  <c r="M48" i="5"/>
  <c r="Y48" i="6"/>
  <c r="L48" i="4"/>
  <c r="X48" i="6" s="1"/>
  <c r="B47" i="6"/>
  <c r="H48" i="2"/>
  <c r="K48" i="2" s="1"/>
  <c r="R48" i="6" s="1"/>
  <c r="G48" i="6" l="1"/>
  <c r="L48" i="3"/>
  <c r="N48" i="5"/>
  <c r="AC48" i="6"/>
  <c r="M48" i="4"/>
  <c r="AB48" i="6" s="1"/>
  <c r="L48" i="2"/>
  <c r="F48" i="6"/>
  <c r="G48" i="5" l="1"/>
  <c r="I48" i="5"/>
  <c r="W48" i="6"/>
  <c r="M48" i="3"/>
  <c r="AG48" i="6"/>
  <c r="M48" i="6"/>
  <c r="N48" i="4"/>
  <c r="M48" i="2"/>
  <c r="V48" i="6"/>
  <c r="G53" i="4" l="1"/>
  <c r="I48" i="4"/>
  <c r="AF48" i="6"/>
  <c r="D48" i="6"/>
  <c r="AA48" i="6"/>
  <c r="N48" i="3"/>
  <c r="H49" i="5"/>
  <c r="K49" i="5" s="1"/>
  <c r="U49" i="6" s="1"/>
  <c r="E48" i="6"/>
  <c r="D52" i="6"/>
  <c r="L48" i="6"/>
  <c r="N48" i="2"/>
  <c r="Z48" i="6"/>
  <c r="G48" i="2" l="1"/>
  <c r="I48" i="2"/>
  <c r="G48" i="3"/>
  <c r="I48" i="3"/>
  <c r="AE48" i="6"/>
  <c r="K48" i="6"/>
  <c r="I49" i="6"/>
  <c r="L49" i="5"/>
  <c r="H49" i="4"/>
  <c r="K49" i="4" s="1"/>
  <c r="T49" i="6" s="1"/>
  <c r="AD48" i="6"/>
  <c r="J48" i="6"/>
  <c r="H49" i="6" l="1"/>
  <c r="C48" i="6"/>
  <c r="H49" i="3"/>
  <c r="K49" i="3" s="1"/>
  <c r="S49" i="6" s="1"/>
  <c r="M49" i="5"/>
  <c r="Y49" i="6"/>
  <c r="L49" i="4"/>
  <c r="X49" i="6" s="1"/>
  <c r="B48" i="6"/>
  <c r="H49" i="2"/>
  <c r="K49" i="2" s="1"/>
  <c r="R49" i="6" s="1"/>
  <c r="G49" i="6" l="1"/>
  <c r="L49" i="3"/>
  <c r="AC49" i="6"/>
  <c r="N49" i="5"/>
  <c r="M49" i="4"/>
  <c r="AB49" i="6" s="1"/>
  <c r="L49" i="2"/>
  <c r="F49" i="6"/>
  <c r="G49" i="5" l="1"/>
  <c r="I49" i="5"/>
  <c r="W49" i="6"/>
  <c r="M49" i="3"/>
  <c r="AG49" i="6"/>
  <c r="M49" i="6"/>
  <c r="N49" i="4"/>
  <c r="M49" i="2"/>
  <c r="V49" i="6"/>
  <c r="G54" i="4" l="1"/>
  <c r="I49" i="4"/>
  <c r="L49" i="6" s="1"/>
  <c r="AF49" i="6"/>
  <c r="AA49" i="6"/>
  <c r="N49" i="3"/>
  <c r="H50" i="5"/>
  <c r="K50" i="5" s="1"/>
  <c r="U50" i="6" s="1"/>
  <c r="E49" i="6"/>
  <c r="D53" i="6"/>
  <c r="N49" i="2"/>
  <c r="Z49" i="6"/>
  <c r="G49" i="2" l="1"/>
  <c r="I49" i="2"/>
  <c r="G49" i="3"/>
  <c r="I49" i="3"/>
  <c r="AE49" i="6"/>
  <c r="K49" i="6"/>
  <c r="L50" i="5"/>
  <c r="I50" i="6"/>
  <c r="H50" i="4"/>
  <c r="K50" i="4" s="1"/>
  <c r="T50" i="6" s="1"/>
  <c r="AD49" i="6"/>
  <c r="J49" i="6"/>
  <c r="H50" i="6" l="1"/>
  <c r="C49" i="6"/>
  <c r="H50" i="3"/>
  <c r="K50" i="3" s="1"/>
  <c r="S50" i="6" s="1"/>
  <c r="M50" i="5"/>
  <c r="Y50" i="6"/>
  <c r="L50" i="4"/>
  <c r="X50" i="6" s="1"/>
  <c r="B49" i="6"/>
  <c r="H50" i="2"/>
  <c r="K50" i="2" s="1"/>
  <c r="R50" i="6" s="1"/>
  <c r="G50" i="6" l="1"/>
  <c r="L50" i="3"/>
  <c r="AC50" i="6"/>
  <c r="N50" i="5"/>
  <c r="M50" i="4"/>
  <c r="AB50" i="6" s="1"/>
  <c r="L50" i="2"/>
  <c r="F50" i="6"/>
  <c r="G50" i="5" l="1"/>
  <c r="I50" i="5"/>
  <c r="W50" i="6"/>
  <c r="M50" i="3"/>
  <c r="AG50" i="6"/>
  <c r="M50" i="6"/>
  <c r="N50" i="4"/>
  <c r="M50" i="2"/>
  <c r="V50" i="6"/>
  <c r="G55" i="4" l="1"/>
  <c r="I50" i="4"/>
  <c r="AF50" i="6"/>
  <c r="AA50" i="6"/>
  <c r="N50" i="3"/>
  <c r="H51" i="5"/>
  <c r="K51" i="5" s="1"/>
  <c r="U51" i="6" s="1"/>
  <c r="E50" i="6"/>
  <c r="L50" i="6"/>
  <c r="N50" i="2"/>
  <c r="Z50" i="6"/>
  <c r="G50" i="2" l="1"/>
  <c r="I50" i="2"/>
  <c r="G50" i="3"/>
  <c r="I50" i="3"/>
  <c r="AE50" i="6"/>
  <c r="K50" i="6"/>
  <c r="L51" i="5"/>
  <c r="I51" i="6"/>
  <c r="H51" i="4"/>
  <c r="K51" i="4" s="1"/>
  <c r="T51" i="6" s="1"/>
  <c r="AD50" i="6"/>
  <c r="J50" i="6"/>
  <c r="H51" i="6" l="1"/>
  <c r="C50" i="6"/>
  <c r="H51" i="3"/>
  <c r="K51" i="3" s="1"/>
  <c r="S51" i="6" s="1"/>
  <c r="Y51" i="6"/>
  <c r="M51" i="5"/>
  <c r="L51" i="4"/>
  <c r="X51" i="6" s="1"/>
  <c r="B50" i="6"/>
  <c r="H51" i="2"/>
  <c r="K51" i="2" s="1"/>
  <c r="R51" i="6" s="1"/>
  <c r="G51" i="6" l="1"/>
  <c r="L51" i="3"/>
  <c r="N51" i="5"/>
  <c r="AC51" i="6"/>
  <c r="M51" i="4"/>
  <c r="AB51" i="6" s="1"/>
  <c r="F51" i="6"/>
  <c r="L51" i="2"/>
  <c r="G51" i="5" l="1"/>
  <c r="I51" i="5"/>
  <c r="W51" i="6"/>
  <c r="M51" i="3"/>
  <c r="AG51" i="6"/>
  <c r="M51" i="6"/>
  <c r="N51" i="4"/>
  <c r="M51" i="2"/>
  <c r="V51" i="6"/>
  <c r="G56" i="4" l="1"/>
  <c r="I51" i="4"/>
  <c r="AF51" i="6"/>
  <c r="D51" i="6"/>
  <c r="AA51" i="6"/>
  <c r="N51" i="3"/>
  <c r="H52" i="5"/>
  <c r="K52" i="5" s="1"/>
  <c r="U52" i="6" s="1"/>
  <c r="E51" i="6"/>
  <c r="D55" i="6"/>
  <c r="L51" i="6"/>
  <c r="N51" i="2"/>
  <c r="Z51" i="6"/>
  <c r="G51" i="2" l="1"/>
  <c r="I51" i="2"/>
  <c r="G51" i="3"/>
  <c r="I51" i="3"/>
  <c r="AE51" i="6"/>
  <c r="K51" i="6"/>
  <c r="I52" i="6"/>
  <c r="L52" i="5"/>
  <c r="H52" i="4"/>
  <c r="K52" i="4" s="1"/>
  <c r="T52" i="6" s="1"/>
  <c r="AD51" i="6"/>
  <c r="J51" i="6"/>
  <c r="H52" i="6" l="1"/>
  <c r="C51" i="6"/>
  <c r="H52" i="3"/>
  <c r="K52" i="3" s="1"/>
  <c r="S52" i="6" s="1"/>
  <c r="M52" i="5"/>
  <c r="Y52" i="6"/>
  <c r="L52" i="4"/>
  <c r="X52" i="6" s="1"/>
  <c r="B51" i="6"/>
  <c r="H52" i="2"/>
  <c r="K52" i="2" s="1"/>
  <c r="R52" i="6" s="1"/>
  <c r="G52" i="6" l="1"/>
  <c r="L52" i="3"/>
  <c r="AC52" i="6"/>
  <c r="N52" i="5"/>
  <c r="M52" i="4"/>
  <c r="AB52" i="6" s="1"/>
  <c r="F52" i="6"/>
  <c r="L52" i="2"/>
  <c r="G52" i="5" l="1"/>
  <c r="I52" i="5"/>
  <c r="W52" i="6"/>
  <c r="M52" i="3"/>
  <c r="AG52" i="6"/>
  <c r="M52" i="6"/>
  <c r="N52" i="4"/>
  <c r="M52" i="2"/>
  <c r="V52" i="6"/>
  <c r="G57" i="4" l="1"/>
  <c r="I52" i="4"/>
  <c r="AF52" i="6"/>
  <c r="AA52" i="6"/>
  <c r="N52" i="3"/>
  <c r="E52" i="6"/>
  <c r="H53" i="5"/>
  <c r="K53" i="5" s="1"/>
  <c r="U53" i="6" s="1"/>
  <c r="L52" i="6"/>
  <c r="N52" i="2"/>
  <c r="Z52" i="6"/>
  <c r="G52" i="2" l="1"/>
  <c r="I52" i="2"/>
  <c r="G52" i="3"/>
  <c r="I52" i="3"/>
  <c r="AE52" i="6"/>
  <c r="K52" i="6"/>
  <c r="L53" i="5"/>
  <c r="I53" i="6"/>
  <c r="H53" i="4"/>
  <c r="K53" i="4" s="1"/>
  <c r="T53" i="6" s="1"/>
  <c r="AD52" i="6"/>
  <c r="J52" i="6"/>
  <c r="H53" i="6" l="1"/>
  <c r="C52" i="6"/>
  <c r="H53" i="3"/>
  <c r="K53" i="3" s="1"/>
  <c r="S53" i="6" s="1"/>
  <c r="M53" i="5"/>
  <c r="Y53" i="6"/>
  <c r="L53" i="4"/>
  <c r="X53" i="6" s="1"/>
  <c r="B52" i="6"/>
  <c r="H53" i="2"/>
  <c r="K53" i="2" s="1"/>
  <c r="R53" i="6" s="1"/>
  <c r="G53" i="6" l="1"/>
  <c r="L53" i="3"/>
  <c r="N53" i="5"/>
  <c r="AC53" i="6"/>
  <c r="M53" i="4"/>
  <c r="AB53" i="6" s="1"/>
  <c r="F53" i="6"/>
  <c r="L53" i="2"/>
  <c r="G53" i="5" l="1"/>
  <c r="I53" i="5"/>
  <c r="W53" i="6"/>
  <c r="M53" i="3"/>
  <c r="AG53" i="6"/>
  <c r="M53" i="6"/>
  <c r="N53" i="4"/>
  <c r="M53" i="2"/>
  <c r="V53" i="6"/>
  <c r="G58" i="4" l="1"/>
  <c r="I53" i="4"/>
  <c r="L53" i="6" s="1"/>
  <c r="AF53" i="6"/>
  <c r="AA53" i="6"/>
  <c r="N53" i="3"/>
  <c r="E53" i="6"/>
  <c r="H54" i="5"/>
  <c r="K54" i="5" s="1"/>
  <c r="U54" i="6" s="1"/>
  <c r="N53" i="2"/>
  <c r="Z53" i="6"/>
  <c r="G53" i="2" l="1"/>
  <c r="I53" i="2"/>
  <c r="G53" i="3"/>
  <c r="I53" i="3"/>
  <c r="AE53" i="6"/>
  <c r="K53" i="6"/>
  <c r="L54" i="5"/>
  <c r="I54" i="6"/>
  <c r="H54" i="4"/>
  <c r="K54" i="4" s="1"/>
  <c r="T54" i="6" s="1"/>
  <c r="AD53" i="6"/>
  <c r="J53" i="6"/>
  <c r="H54" i="6" l="1"/>
  <c r="C53" i="6"/>
  <c r="H54" i="3"/>
  <c r="K54" i="3" s="1"/>
  <c r="S54" i="6" s="1"/>
  <c r="Y54" i="6"/>
  <c r="M54" i="5"/>
  <c r="L54" i="4"/>
  <c r="X54" i="6" s="1"/>
  <c r="B53" i="6"/>
  <c r="H54" i="2"/>
  <c r="K54" i="2" s="1"/>
  <c r="R54" i="6" s="1"/>
  <c r="G54" i="6" l="1"/>
  <c r="L54" i="3"/>
  <c r="AC54" i="6"/>
  <c r="N54" i="5"/>
  <c r="M54" i="4"/>
  <c r="AB54" i="6" s="1"/>
  <c r="F54" i="6"/>
  <c r="L54" i="2"/>
  <c r="G54" i="5" l="1"/>
  <c r="I54" i="5"/>
  <c r="W54" i="6"/>
  <c r="M54" i="3"/>
  <c r="AG54" i="6"/>
  <c r="M54" i="6"/>
  <c r="N54" i="4"/>
  <c r="M54" i="2"/>
  <c r="V54" i="6"/>
  <c r="G59" i="4" l="1"/>
  <c r="I54" i="4"/>
  <c r="L54" i="6" s="1"/>
  <c r="AF54" i="6"/>
  <c r="D54" i="6"/>
  <c r="AA54" i="6"/>
  <c r="N54" i="3"/>
  <c r="E54" i="6"/>
  <c r="H55" i="5"/>
  <c r="K55" i="5" s="1"/>
  <c r="U55" i="6" s="1"/>
  <c r="N54" i="2"/>
  <c r="Z54" i="6"/>
  <c r="G54" i="2" l="1"/>
  <c r="I54" i="2"/>
  <c r="G54" i="3"/>
  <c r="I54" i="3"/>
  <c r="AE54" i="6"/>
  <c r="K54" i="6"/>
  <c r="L55" i="5"/>
  <c r="I55" i="6"/>
  <c r="H55" i="4"/>
  <c r="K55" i="4" s="1"/>
  <c r="T55" i="6" s="1"/>
  <c r="AD54" i="6"/>
  <c r="J54" i="6"/>
  <c r="H55" i="6" l="1"/>
  <c r="C54" i="6"/>
  <c r="H55" i="3"/>
  <c r="K55" i="3" s="1"/>
  <c r="S55" i="6" s="1"/>
  <c r="Y55" i="6"/>
  <c r="M55" i="5"/>
  <c r="L55" i="4"/>
  <c r="X55" i="6" s="1"/>
  <c r="B54" i="6"/>
  <c r="H55" i="2"/>
  <c r="K55" i="2" s="1"/>
  <c r="R55" i="6" s="1"/>
  <c r="G55" i="6" l="1"/>
  <c r="L55" i="3"/>
  <c r="AC55" i="6"/>
  <c r="N55" i="5"/>
  <c r="M55" i="4"/>
  <c r="AB55" i="6" s="1"/>
  <c r="F55" i="6"/>
  <c r="L55" i="2"/>
  <c r="G55" i="5" l="1"/>
  <c r="I55" i="5"/>
  <c r="W55" i="6"/>
  <c r="M55" i="3"/>
  <c r="AG55" i="6"/>
  <c r="M55" i="6"/>
  <c r="N55" i="4"/>
  <c r="M55" i="2"/>
  <c r="V55" i="6"/>
  <c r="G60" i="4" l="1"/>
  <c r="I55" i="4"/>
  <c r="L55" i="6" s="1"/>
  <c r="AF55" i="6"/>
  <c r="AA55" i="6"/>
  <c r="N55" i="3"/>
  <c r="H56" i="5"/>
  <c r="K56" i="5" s="1"/>
  <c r="U56" i="6" s="1"/>
  <c r="E55" i="6"/>
  <c r="N55" i="2"/>
  <c r="Z55" i="6"/>
  <c r="G55" i="2" l="1"/>
  <c r="I55" i="2"/>
  <c r="G55" i="3"/>
  <c r="I55" i="3"/>
  <c r="AE55" i="6"/>
  <c r="K55" i="6"/>
  <c r="L56" i="5"/>
  <c r="I56" i="6"/>
  <c r="H56" i="4"/>
  <c r="K56" i="4" s="1"/>
  <c r="T56" i="6" s="1"/>
  <c r="AD55" i="6"/>
  <c r="J55" i="6"/>
  <c r="H56" i="6" l="1"/>
  <c r="C55" i="6"/>
  <c r="H56" i="3"/>
  <c r="K56" i="3" s="1"/>
  <c r="S56" i="6" s="1"/>
  <c r="M56" i="5"/>
  <c r="Y56" i="6"/>
  <c r="L56" i="4"/>
  <c r="X56" i="6" s="1"/>
  <c r="B55" i="6"/>
  <c r="H56" i="2"/>
  <c r="K56" i="2" s="1"/>
  <c r="R56" i="6" s="1"/>
  <c r="G56" i="6" l="1"/>
  <c r="L56" i="3"/>
  <c r="N56" i="5"/>
  <c r="AC56" i="6"/>
  <c r="M56" i="4"/>
  <c r="AB56" i="6" s="1"/>
  <c r="F56" i="6"/>
  <c r="L56" i="2"/>
  <c r="G56" i="5" l="1"/>
  <c r="I56" i="5"/>
  <c r="W56" i="6"/>
  <c r="M56" i="3"/>
  <c r="AG56" i="6"/>
  <c r="M56" i="6"/>
  <c r="N56" i="4"/>
  <c r="M56" i="2"/>
  <c r="V56" i="6"/>
  <c r="G61" i="4" l="1"/>
  <c r="I56" i="4"/>
  <c r="L56" i="6" s="1"/>
  <c r="AF56" i="6"/>
  <c r="D56" i="6"/>
  <c r="AA56" i="6"/>
  <c r="N56" i="3"/>
  <c r="H57" i="5"/>
  <c r="K57" i="5" s="1"/>
  <c r="U57" i="6" s="1"/>
  <c r="E56" i="6"/>
  <c r="N56" i="2"/>
  <c r="Z56" i="6"/>
  <c r="G56" i="2" l="1"/>
  <c r="I56" i="2"/>
  <c r="G56" i="3"/>
  <c r="I56" i="3"/>
  <c r="AE56" i="6"/>
  <c r="K56" i="6"/>
  <c r="I57" i="6"/>
  <c r="L57" i="5"/>
  <c r="H57" i="4"/>
  <c r="K57" i="4" s="1"/>
  <c r="T57" i="6" s="1"/>
  <c r="AD56" i="6"/>
  <c r="H57" i="6" l="1"/>
  <c r="C56" i="6"/>
  <c r="H57" i="3"/>
  <c r="K57" i="3" s="1"/>
  <c r="S57" i="6" s="1"/>
  <c r="Y57" i="6"/>
  <c r="M57" i="5"/>
  <c r="L57" i="4"/>
  <c r="X57" i="6" s="1"/>
  <c r="B56" i="6"/>
  <c r="H57" i="2"/>
  <c r="K57" i="2" s="1"/>
  <c r="R57" i="6" s="1"/>
  <c r="J56" i="6"/>
  <c r="G57" i="6" l="1"/>
  <c r="L57" i="3"/>
  <c r="N57" i="5"/>
  <c r="AC57" i="6"/>
  <c r="M57" i="4"/>
  <c r="AB57" i="6" s="1"/>
  <c r="F57" i="6"/>
  <c r="L57" i="2"/>
  <c r="G57" i="5" l="1"/>
  <c r="I57" i="5"/>
  <c r="W57" i="6"/>
  <c r="M57" i="3"/>
  <c r="AG57" i="6"/>
  <c r="M57" i="6"/>
  <c r="N57" i="4"/>
  <c r="M57" i="2"/>
  <c r="V57" i="6"/>
  <c r="G62" i="4" l="1"/>
  <c r="I57" i="4"/>
  <c r="L57" i="6" s="1"/>
  <c r="AF57" i="6"/>
  <c r="D57" i="6"/>
  <c r="AA57" i="6"/>
  <c r="N57" i="3"/>
  <c r="E57" i="6"/>
  <c r="H58" i="5"/>
  <c r="K58" i="5" s="1"/>
  <c r="U58" i="6" s="1"/>
  <c r="D61" i="6"/>
  <c r="N57" i="2"/>
  <c r="Z57" i="6"/>
  <c r="G57" i="2" l="1"/>
  <c r="B57" i="6" s="1"/>
  <c r="I57" i="2"/>
  <c r="G57" i="3"/>
  <c r="I57" i="3"/>
  <c r="AE57" i="6"/>
  <c r="K57" i="6"/>
  <c r="L58" i="5"/>
  <c r="I58" i="6"/>
  <c r="H58" i="4"/>
  <c r="K58" i="4" s="1"/>
  <c r="T58" i="6" s="1"/>
  <c r="AD57" i="6"/>
  <c r="H58" i="6" l="1"/>
  <c r="C57" i="6"/>
  <c r="H58" i="3"/>
  <c r="K58" i="3" s="1"/>
  <c r="S58" i="6" s="1"/>
  <c r="M58" i="5"/>
  <c r="Y58" i="6"/>
  <c r="L58" i="4"/>
  <c r="X58" i="6" s="1"/>
  <c r="H58" i="2"/>
  <c r="K58" i="2" s="1"/>
  <c r="R58" i="6" s="1"/>
  <c r="J57" i="6"/>
  <c r="G58" i="6" l="1"/>
  <c r="L58" i="3"/>
  <c r="N58" i="5"/>
  <c r="AC58" i="6"/>
  <c r="M58" i="4"/>
  <c r="AB58" i="6" s="1"/>
  <c r="L58" i="2"/>
  <c r="F58" i="6"/>
  <c r="G58" i="5" l="1"/>
  <c r="I58" i="5"/>
  <c r="W58" i="6"/>
  <c r="M58" i="3"/>
  <c r="AG58" i="6"/>
  <c r="M58" i="6"/>
  <c r="N58" i="4"/>
  <c r="M58" i="2"/>
  <c r="V58" i="6"/>
  <c r="G63" i="4" l="1"/>
  <c r="I58" i="4"/>
  <c r="AF58" i="6"/>
  <c r="D58" i="6"/>
  <c r="AA58" i="6"/>
  <c r="N58" i="3"/>
  <c r="E58" i="6"/>
  <c r="H59" i="5"/>
  <c r="K59" i="5" s="1"/>
  <c r="U59" i="6" s="1"/>
  <c r="D62" i="6"/>
  <c r="L58" i="6"/>
  <c r="N58" i="2"/>
  <c r="Z58" i="6"/>
  <c r="G58" i="2" l="1"/>
  <c r="I58" i="2"/>
  <c r="G58" i="3"/>
  <c r="I58" i="3"/>
  <c r="AE58" i="6"/>
  <c r="K58" i="6"/>
  <c r="I59" i="6"/>
  <c r="L59" i="5"/>
  <c r="H59" i="4"/>
  <c r="K59" i="4" s="1"/>
  <c r="T59" i="6" s="1"/>
  <c r="AD58" i="6"/>
  <c r="J58" i="6"/>
  <c r="H59" i="6" l="1"/>
  <c r="C58" i="6"/>
  <c r="H59" i="3"/>
  <c r="K59" i="3" s="1"/>
  <c r="S59" i="6" s="1"/>
  <c r="M59" i="5"/>
  <c r="Y59" i="6"/>
  <c r="L59" i="4"/>
  <c r="X59" i="6" s="1"/>
  <c r="B58" i="6"/>
  <c r="H59" i="2"/>
  <c r="K59" i="2" s="1"/>
  <c r="R59" i="6" s="1"/>
  <c r="G59" i="6" l="1"/>
  <c r="L59" i="3"/>
  <c r="N59" i="5"/>
  <c r="AC59" i="6"/>
  <c r="M59" i="4"/>
  <c r="AB59" i="6" s="1"/>
  <c r="L59" i="2"/>
  <c r="F59" i="6"/>
  <c r="G59" i="5" l="1"/>
  <c r="I59" i="5"/>
  <c r="W59" i="6"/>
  <c r="M59" i="3"/>
  <c r="AG59" i="6"/>
  <c r="M59" i="6"/>
  <c r="N59" i="4"/>
  <c r="M59" i="2"/>
  <c r="V59" i="6"/>
  <c r="G64" i="4" l="1"/>
  <c r="I59" i="4"/>
  <c r="L59" i="6" s="1"/>
  <c r="AF59" i="6"/>
  <c r="D59" i="6"/>
  <c r="AA59" i="6"/>
  <c r="N59" i="3"/>
  <c r="H60" i="5"/>
  <c r="K60" i="5" s="1"/>
  <c r="U60" i="6" s="1"/>
  <c r="E59" i="6"/>
  <c r="N59" i="2"/>
  <c r="Z59" i="6"/>
  <c r="G59" i="2" l="1"/>
  <c r="I59" i="2"/>
  <c r="G59" i="3"/>
  <c r="I59" i="3"/>
  <c r="AE59" i="6"/>
  <c r="K59" i="6"/>
  <c r="I60" i="6"/>
  <c r="L60" i="5"/>
  <c r="H60" i="4"/>
  <c r="K60" i="4" s="1"/>
  <c r="T60" i="6" s="1"/>
  <c r="AD59" i="6"/>
  <c r="H60" i="6" l="1"/>
  <c r="C59" i="6"/>
  <c r="H60" i="3"/>
  <c r="K60" i="3" s="1"/>
  <c r="S60" i="6" s="1"/>
  <c r="Y60" i="6"/>
  <c r="M60" i="5"/>
  <c r="L60" i="4"/>
  <c r="X60" i="6" s="1"/>
  <c r="B59" i="6"/>
  <c r="H60" i="2"/>
  <c r="K60" i="2" s="1"/>
  <c r="R60" i="6"/>
  <c r="J59" i="6"/>
  <c r="G60" i="6" l="1"/>
  <c r="L60" i="3"/>
  <c r="N60" i="5"/>
  <c r="AC60" i="6"/>
  <c r="M60" i="4"/>
  <c r="AB60" i="6" s="1"/>
  <c r="F60" i="6"/>
  <c r="L60" i="2"/>
  <c r="G60" i="5" l="1"/>
  <c r="I60" i="5"/>
  <c r="W60" i="6"/>
  <c r="M60" i="3"/>
  <c r="AG60" i="6"/>
  <c r="M60" i="6"/>
  <c r="N60" i="4"/>
  <c r="M60" i="2"/>
  <c r="V60" i="6"/>
  <c r="G65" i="4" l="1"/>
  <c r="I60" i="4"/>
  <c r="AF60" i="6"/>
  <c r="D60" i="6"/>
  <c r="AA60" i="6"/>
  <c r="N60" i="3"/>
  <c r="E60" i="6"/>
  <c r="H61" i="5"/>
  <c r="K61" i="5" s="1"/>
  <c r="U61" i="6" s="1"/>
  <c r="D64" i="6"/>
  <c r="L60" i="6"/>
  <c r="N60" i="2"/>
  <c r="Z60" i="6"/>
  <c r="G60" i="2" l="1"/>
  <c r="I60" i="2"/>
  <c r="J60" i="6" s="1"/>
  <c r="G60" i="3"/>
  <c r="I60" i="3"/>
  <c r="AE60" i="6"/>
  <c r="K60" i="6"/>
  <c r="L61" i="5"/>
  <c r="I61" i="6"/>
  <c r="H61" i="4"/>
  <c r="K61" i="4" s="1"/>
  <c r="T61" i="6" s="1"/>
  <c r="AD60" i="6"/>
  <c r="H61" i="6" l="1"/>
  <c r="C60" i="6"/>
  <c r="H61" i="3"/>
  <c r="K61" i="3" s="1"/>
  <c r="S61" i="6" s="1"/>
  <c r="Y61" i="6"/>
  <c r="M61" i="5"/>
  <c r="L61" i="4"/>
  <c r="X61" i="6" s="1"/>
  <c r="H61" i="2"/>
  <c r="K61" i="2" s="1"/>
  <c r="R61" i="6" s="1"/>
  <c r="B60" i="6"/>
  <c r="G61" i="6" l="1"/>
  <c r="L61" i="3"/>
  <c r="AC61" i="6"/>
  <c r="N61" i="5"/>
  <c r="M61" i="4"/>
  <c r="AB61" i="6" s="1"/>
  <c r="L61" i="2"/>
  <c r="F61" i="6"/>
  <c r="G61" i="5" l="1"/>
  <c r="I61" i="5"/>
  <c r="W61" i="6"/>
  <c r="M61" i="3"/>
  <c r="AG61" i="6"/>
  <c r="M61" i="6"/>
  <c r="N61" i="4"/>
  <c r="M61" i="2"/>
  <c r="V61" i="6"/>
  <c r="G66" i="4" l="1"/>
  <c r="I61" i="4"/>
  <c r="L61" i="6" s="1"/>
  <c r="AF61" i="6"/>
  <c r="AA61" i="6"/>
  <c r="N61" i="3"/>
  <c r="E61" i="6"/>
  <c r="H62" i="5"/>
  <c r="K62" i="5" s="1"/>
  <c r="U62" i="6" s="1"/>
  <c r="D65" i="6"/>
  <c r="N61" i="2"/>
  <c r="Z61" i="6"/>
  <c r="G61" i="2" l="1"/>
  <c r="I61" i="2"/>
  <c r="G61" i="3"/>
  <c r="I61" i="3"/>
  <c r="AE61" i="6"/>
  <c r="K61" i="6"/>
  <c r="I62" i="6"/>
  <c r="L62" i="5"/>
  <c r="H62" i="4"/>
  <c r="K62" i="4" s="1"/>
  <c r="T62" i="6" s="1"/>
  <c r="AD61" i="6"/>
  <c r="J61" i="6"/>
  <c r="H62" i="6" l="1"/>
  <c r="C61" i="6"/>
  <c r="H62" i="3"/>
  <c r="K62" i="3" s="1"/>
  <c r="S62" i="6" s="1"/>
  <c r="M62" i="5"/>
  <c r="Y62" i="6"/>
  <c r="L62" i="4"/>
  <c r="X62" i="6" s="1"/>
  <c r="B61" i="6"/>
  <c r="H62" i="2"/>
  <c r="K62" i="2" s="1"/>
  <c r="R62" i="6" s="1"/>
  <c r="G62" i="6" l="1"/>
  <c r="L62" i="3"/>
  <c r="N62" i="5"/>
  <c r="AC62" i="6"/>
  <c r="M62" i="4"/>
  <c r="AB62" i="6" s="1"/>
  <c r="F62" i="6"/>
  <c r="L62" i="2"/>
  <c r="G62" i="5" l="1"/>
  <c r="I62" i="5"/>
  <c r="W62" i="6"/>
  <c r="M62" i="3"/>
  <c r="AG62" i="6"/>
  <c r="M62" i="6"/>
  <c r="N62" i="4"/>
  <c r="M62" i="2"/>
  <c r="V62" i="6"/>
  <c r="G67" i="4" l="1"/>
  <c r="I62" i="4"/>
  <c r="L62" i="6" s="1"/>
  <c r="AF62" i="6"/>
  <c r="AA62" i="6"/>
  <c r="N62" i="3"/>
  <c r="E62" i="6"/>
  <c r="H63" i="5"/>
  <c r="K63" i="5" s="1"/>
  <c r="U63" i="6" s="1"/>
  <c r="N62" i="2"/>
  <c r="Z62" i="6"/>
  <c r="G62" i="2" l="1"/>
  <c r="I62" i="2"/>
  <c r="G62" i="3"/>
  <c r="I62" i="3"/>
  <c r="AE62" i="6"/>
  <c r="K62" i="6"/>
  <c r="I63" i="6"/>
  <c r="L63" i="5"/>
  <c r="H63" i="4"/>
  <c r="K63" i="4" s="1"/>
  <c r="T63" i="6" s="1"/>
  <c r="AD62" i="6"/>
  <c r="J62" i="6"/>
  <c r="H63" i="6" l="1"/>
  <c r="C62" i="6"/>
  <c r="H63" i="3"/>
  <c r="K63" i="3" s="1"/>
  <c r="S63" i="6" s="1"/>
  <c r="Y63" i="6"/>
  <c r="M63" i="5"/>
  <c r="L63" i="4"/>
  <c r="X63" i="6" s="1"/>
  <c r="B62" i="6"/>
  <c r="H63" i="2"/>
  <c r="K63" i="2" s="1"/>
  <c r="R63" i="6" s="1"/>
  <c r="G63" i="6" l="1"/>
  <c r="L63" i="3"/>
  <c r="AC63" i="6"/>
  <c r="N63" i="5"/>
  <c r="M63" i="4"/>
  <c r="AB63" i="6" s="1"/>
  <c r="F63" i="6"/>
  <c r="L63" i="2"/>
  <c r="G63" i="5" l="1"/>
  <c r="I63" i="5"/>
  <c r="W63" i="6"/>
  <c r="M63" i="3"/>
  <c r="AG63" i="6"/>
  <c r="M63" i="6"/>
  <c r="N63" i="4"/>
  <c r="M63" i="2"/>
  <c r="V63" i="6"/>
  <c r="G68" i="4" l="1"/>
  <c r="I63" i="4"/>
  <c r="AF63" i="6"/>
  <c r="D63" i="6"/>
  <c r="AA63" i="6"/>
  <c r="N63" i="3"/>
  <c r="H64" i="5"/>
  <c r="K64" i="5" s="1"/>
  <c r="U64" i="6" s="1"/>
  <c r="E63" i="6"/>
  <c r="D67" i="6"/>
  <c r="L63" i="6"/>
  <c r="N63" i="2"/>
  <c r="Z63" i="6"/>
  <c r="G63" i="2" l="1"/>
  <c r="I63" i="2"/>
  <c r="G63" i="3"/>
  <c r="I63" i="3"/>
  <c r="AE63" i="6"/>
  <c r="K63" i="6"/>
  <c r="L64" i="5"/>
  <c r="I64" i="6"/>
  <c r="H64" i="4"/>
  <c r="K64" i="4" s="1"/>
  <c r="T64" i="6" s="1"/>
  <c r="AD63" i="6"/>
  <c r="J63" i="6"/>
  <c r="H64" i="6" l="1"/>
  <c r="C63" i="6"/>
  <c r="H64" i="3"/>
  <c r="K64" i="3" s="1"/>
  <c r="S64" i="6" s="1"/>
  <c r="M64" i="5"/>
  <c r="Y64" i="6"/>
  <c r="L64" i="4"/>
  <c r="X64" i="6" s="1"/>
  <c r="B63" i="6"/>
  <c r="H64" i="2"/>
  <c r="K64" i="2" s="1"/>
  <c r="R64" i="6" s="1"/>
  <c r="G64" i="6" l="1"/>
  <c r="L64" i="3"/>
  <c r="N64" i="5"/>
  <c r="AC64" i="6"/>
  <c r="M64" i="4"/>
  <c r="AB64" i="6" s="1"/>
  <c r="F64" i="6"/>
  <c r="L64" i="2"/>
  <c r="G64" i="5" l="1"/>
  <c r="I64" i="5"/>
  <c r="W64" i="6"/>
  <c r="M64" i="3"/>
  <c r="AG64" i="6"/>
  <c r="M64" i="6"/>
  <c r="N64" i="4"/>
  <c r="M64" i="2"/>
  <c r="V64" i="6"/>
  <c r="G69" i="4" l="1"/>
  <c r="I64" i="4"/>
  <c r="L64" i="6" s="1"/>
  <c r="AF64" i="6"/>
  <c r="AA64" i="6"/>
  <c r="N64" i="3"/>
  <c r="H65" i="5"/>
  <c r="K65" i="5" s="1"/>
  <c r="U65" i="6" s="1"/>
  <c r="E64" i="6"/>
  <c r="D68" i="6"/>
  <c r="N64" i="2"/>
  <c r="Z64" i="6"/>
  <c r="G64" i="2" l="1"/>
  <c r="I64" i="2"/>
  <c r="G64" i="3"/>
  <c r="I64" i="3"/>
  <c r="AE64" i="6"/>
  <c r="K64" i="6"/>
  <c r="L65" i="5"/>
  <c r="I65" i="6"/>
  <c r="H65" i="4"/>
  <c r="K65" i="4" s="1"/>
  <c r="T65" i="6" s="1"/>
  <c r="AD64" i="6"/>
  <c r="J64" i="6"/>
  <c r="H65" i="6" l="1"/>
  <c r="C64" i="6"/>
  <c r="H65" i="3"/>
  <c r="K65" i="3" s="1"/>
  <c r="S65" i="6" s="1"/>
  <c r="M65" i="5"/>
  <c r="Y65" i="6"/>
  <c r="L65" i="4"/>
  <c r="X65" i="6" s="1"/>
  <c r="B64" i="6"/>
  <c r="H65" i="2"/>
  <c r="K65" i="2" s="1"/>
  <c r="R65" i="6" s="1"/>
  <c r="G65" i="6" l="1"/>
  <c r="L65" i="3"/>
  <c r="AC65" i="6"/>
  <c r="N65" i="5"/>
  <c r="M65" i="4"/>
  <c r="AB65" i="6" s="1"/>
  <c r="F65" i="6"/>
  <c r="L65" i="2"/>
  <c r="G65" i="5" l="1"/>
  <c r="I65" i="5"/>
  <c r="W65" i="6"/>
  <c r="M65" i="3"/>
  <c r="AG65" i="6"/>
  <c r="M65" i="6"/>
  <c r="N65" i="4"/>
  <c r="M65" i="2"/>
  <c r="V65" i="6"/>
  <c r="G70" i="4" l="1"/>
  <c r="I65" i="4"/>
  <c r="AF65" i="6"/>
  <c r="AA65" i="6"/>
  <c r="N65" i="3"/>
  <c r="H66" i="5"/>
  <c r="K66" i="5" s="1"/>
  <c r="U66" i="6" s="1"/>
  <c r="E65" i="6"/>
  <c r="L65" i="6"/>
  <c r="N65" i="2"/>
  <c r="Z65" i="6"/>
  <c r="G65" i="2" l="1"/>
  <c r="I65" i="2"/>
  <c r="G65" i="3"/>
  <c r="I65" i="3"/>
  <c r="AE65" i="6"/>
  <c r="K65" i="6"/>
  <c r="I66" i="6"/>
  <c r="L66" i="5"/>
  <c r="H66" i="4"/>
  <c r="K66" i="4" s="1"/>
  <c r="T66" i="6" s="1"/>
  <c r="AD65" i="6"/>
  <c r="J65" i="6"/>
  <c r="H66" i="6" l="1"/>
  <c r="C65" i="6"/>
  <c r="H66" i="3"/>
  <c r="K66" i="3" s="1"/>
  <c r="S66" i="6" s="1"/>
  <c r="M66" i="5"/>
  <c r="Y66" i="6"/>
  <c r="L66" i="4"/>
  <c r="X66" i="6" s="1"/>
  <c r="B65" i="6"/>
  <c r="H66" i="2"/>
  <c r="K66" i="2" s="1"/>
  <c r="R66" i="6" s="1"/>
  <c r="G66" i="6" l="1"/>
  <c r="L66" i="3"/>
  <c r="AC66" i="6"/>
  <c r="N66" i="5"/>
  <c r="M66" i="4"/>
  <c r="AB66" i="6" s="1"/>
  <c r="F66" i="6"/>
  <c r="L66" i="2"/>
  <c r="G66" i="5" l="1"/>
  <c r="I66" i="5"/>
  <c r="W66" i="6"/>
  <c r="M66" i="3"/>
  <c r="AG66" i="6"/>
  <c r="M66" i="6"/>
  <c r="N66" i="4"/>
  <c r="M66" i="2"/>
  <c r="V66" i="6"/>
  <c r="G71" i="4" l="1"/>
  <c r="I66" i="4"/>
  <c r="AF66" i="6"/>
  <c r="D66" i="6"/>
  <c r="AA66" i="6"/>
  <c r="N66" i="3"/>
  <c r="H67" i="5"/>
  <c r="K67" i="5" s="1"/>
  <c r="U67" i="6" s="1"/>
  <c r="E66" i="6"/>
  <c r="D70" i="6"/>
  <c r="L66" i="6"/>
  <c r="N66" i="2"/>
  <c r="Z66" i="6"/>
  <c r="G66" i="2" l="1"/>
  <c r="I66" i="2"/>
  <c r="G66" i="3"/>
  <c r="I66" i="3"/>
  <c r="AE66" i="6"/>
  <c r="K66" i="6"/>
  <c r="L67" i="5"/>
  <c r="I67" i="6"/>
  <c r="H67" i="4"/>
  <c r="K67" i="4" s="1"/>
  <c r="T67" i="6" s="1"/>
  <c r="AD66" i="6"/>
  <c r="J66" i="6"/>
  <c r="H67" i="6" l="1"/>
  <c r="C66" i="6"/>
  <c r="H67" i="3"/>
  <c r="K67" i="3" s="1"/>
  <c r="S67" i="6" s="1"/>
  <c r="M67" i="5"/>
  <c r="Y67" i="6"/>
  <c r="L67" i="4"/>
  <c r="X67" i="6" s="1"/>
  <c r="B66" i="6"/>
  <c r="H67" i="2"/>
  <c r="K67" i="2" s="1"/>
  <c r="R67" i="6" s="1"/>
  <c r="G67" i="6" l="1"/>
  <c r="L67" i="3"/>
  <c r="AC67" i="6"/>
  <c r="N67" i="5"/>
  <c r="M67" i="4"/>
  <c r="AB67" i="6" s="1"/>
  <c r="F67" i="6"/>
  <c r="L67" i="2"/>
  <c r="G67" i="5" l="1"/>
  <c r="I67" i="5"/>
  <c r="W67" i="6"/>
  <c r="M67" i="3"/>
  <c r="AG67" i="6"/>
  <c r="M67" i="6"/>
  <c r="N67" i="4"/>
  <c r="M67" i="2"/>
  <c r="V67" i="6"/>
  <c r="G72" i="4" l="1"/>
  <c r="I67" i="4"/>
  <c r="L67" i="6" s="1"/>
  <c r="AF67" i="6"/>
  <c r="AA67" i="6"/>
  <c r="N67" i="3"/>
  <c r="E67" i="6"/>
  <c r="H68" i="5"/>
  <c r="K68" i="5" s="1"/>
  <c r="U68" i="6" s="1"/>
  <c r="D71" i="6"/>
  <c r="N67" i="2"/>
  <c r="Z67" i="6"/>
  <c r="G67" i="2" l="1"/>
  <c r="I67" i="2"/>
  <c r="G67" i="3"/>
  <c r="I67" i="3"/>
  <c r="AE67" i="6"/>
  <c r="K67" i="6"/>
  <c r="I68" i="6"/>
  <c r="L68" i="5"/>
  <c r="H68" i="4"/>
  <c r="K68" i="4" s="1"/>
  <c r="T68" i="6" s="1"/>
  <c r="AD67" i="6"/>
  <c r="J67" i="6"/>
  <c r="H68" i="6" l="1"/>
  <c r="C67" i="6"/>
  <c r="H68" i="3"/>
  <c r="K68" i="3" s="1"/>
  <c r="S68" i="6" s="1"/>
  <c r="Y68" i="6"/>
  <c r="M68" i="5"/>
  <c r="L68" i="4"/>
  <c r="X68" i="6" s="1"/>
  <c r="B67" i="6"/>
  <c r="H68" i="2"/>
  <c r="K68" i="2" s="1"/>
  <c r="R68" i="6" s="1"/>
  <c r="G68" i="6" l="1"/>
  <c r="L68" i="3"/>
  <c r="N68" i="5"/>
  <c r="AC68" i="6"/>
  <c r="M68" i="4"/>
  <c r="AB68" i="6" s="1"/>
  <c r="F68" i="6"/>
  <c r="L68" i="2"/>
  <c r="G68" i="5" l="1"/>
  <c r="I68" i="5"/>
  <c r="W68" i="6"/>
  <c r="M68" i="3"/>
  <c r="AG68" i="6"/>
  <c r="M68" i="6"/>
  <c r="N68" i="4"/>
  <c r="M68" i="2"/>
  <c r="V68" i="6"/>
  <c r="G73" i="4" l="1"/>
  <c r="I68" i="4"/>
  <c r="AF68" i="6"/>
  <c r="AA68" i="6"/>
  <c r="N68" i="3"/>
  <c r="E68" i="6"/>
  <c r="H69" i="5"/>
  <c r="K69" i="5" s="1"/>
  <c r="U69" i="6" s="1"/>
  <c r="L68" i="6"/>
  <c r="N68" i="2"/>
  <c r="Z68" i="6"/>
  <c r="G68" i="2" l="1"/>
  <c r="I68" i="2"/>
  <c r="G68" i="3"/>
  <c r="I68" i="3"/>
  <c r="AE68" i="6"/>
  <c r="K68" i="6"/>
  <c r="I69" i="6"/>
  <c r="L69" i="5"/>
  <c r="H69" i="4"/>
  <c r="K69" i="4" s="1"/>
  <c r="T69" i="6" s="1"/>
  <c r="AD68" i="6"/>
  <c r="J68" i="6"/>
  <c r="H69" i="6" l="1"/>
  <c r="C68" i="6"/>
  <c r="H69" i="3"/>
  <c r="K69" i="3" s="1"/>
  <c r="S69" i="6" s="1"/>
  <c r="M69" i="5"/>
  <c r="Y69" i="6"/>
  <c r="L69" i="4"/>
  <c r="X69" i="6" s="1"/>
  <c r="B68" i="6"/>
  <c r="H69" i="2"/>
  <c r="K69" i="2" s="1"/>
  <c r="R69" i="6" s="1"/>
  <c r="G69" i="6" l="1"/>
  <c r="L69" i="3"/>
  <c r="N69" i="5"/>
  <c r="AC69" i="6"/>
  <c r="M69" i="4"/>
  <c r="AB69" i="6" s="1"/>
  <c r="F69" i="6"/>
  <c r="L69" i="2"/>
  <c r="G69" i="5" l="1"/>
  <c r="I69" i="5"/>
  <c r="W69" i="6"/>
  <c r="M69" i="3"/>
  <c r="AG69" i="6"/>
  <c r="M69" i="6"/>
  <c r="N69" i="4"/>
  <c r="M69" i="2"/>
  <c r="V69" i="6"/>
  <c r="G74" i="4" l="1"/>
  <c r="I69" i="4"/>
  <c r="L69" i="6" s="1"/>
  <c r="AF69" i="6"/>
  <c r="D69" i="6"/>
  <c r="AA69" i="6"/>
  <c r="N69" i="3"/>
  <c r="E69" i="6"/>
  <c r="H70" i="5"/>
  <c r="K70" i="5" s="1"/>
  <c r="U70" i="6" s="1"/>
  <c r="D73" i="6"/>
  <c r="N69" i="2"/>
  <c r="Z69" i="6"/>
  <c r="G69" i="2" l="1"/>
  <c r="I69" i="2"/>
  <c r="G69" i="3"/>
  <c r="I69" i="3"/>
  <c r="AE69" i="6"/>
  <c r="K69" i="6"/>
  <c r="I70" i="6"/>
  <c r="L70" i="5"/>
  <c r="H70" i="4"/>
  <c r="K70" i="4" s="1"/>
  <c r="T70" i="6" s="1"/>
  <c r="AD69" i="6"/>
  <c r="J69" i="6"/>
  <c r="H70" i="6" l="1"/>
  <c r="C69" i="6"/>
  <c r="H70" i="3"/>
  <c r="K70" i="3" s="1"/>
  <c r="S70" i="6" s="1"/>
  <c r="Y70" i="6"/>
  <c r="M70" i="5"/>
  <c r="L70" i="4"/>
  <c r="X70" i="6" s="1"/>
  <c r="B69" i="6"/>
  <c r="H70" i="2"/>
  <c r="K70" i="2" s="1"/>
  <c r="R70" i="6" s="1"/>
  <c r="G70" i="6" l="1"/>
  <c r="L70" i="3"/>
  <c r="AC70" i="6"/>
  <c r="N70" i="5"/>
  <c r="M70" i="4"/>
  <c r="AB70" i="6" s="1"/>
  <c r="F70" i="6"/>
  <c r="L70" i="2"/>
  <c r="G70" i="5" l="1"/>
  <c r="I70" i="5"/>
  <c r="W70" i="6"/>
  <c r="M70" i="3"/>
  <c r="AG70" i="6"/>
  <c r="M70" i="6"/>
  <c r="N70" i="4"/>
  <c r="M70" i="2"/>
  <c r="V70" i="6"/>
  <c r="G75" i="4" l="1"/>
  <c r="I70" i="4"/>
  <c r="L70" i="6" s="1"/>
  <c r="AF70" i="6"/>
  <c r="D74" i="6"/>
  <c r="AA70" i="6"/>
  <c r="N70" i="3"/>
  <c r="E70" i="6"/>
  <c r="H71" i="5"/>
  <c r="K71" i="5" s="1"/>
  <c r="U71" i="6" s="1"/>
  <c r="N70" i="2"/>
  <c r="Z70" i="6"/>
  <c r="G70" i="2" l="1"/>
  <c r="I70" i="2"/>
  <c r="G70" i="3"/>
  <c r="I70" i="3"/>
  <c r="AE70" i="6"/>
  <c r="K70" i="6"/>
  <c r="I71" i="6"/>
  <c r="L71" i="5"/>
  <c r="H71" i="4"/>
  <c r="K71" i="4" s="1"/>
  <c r="T71" i="6" s="1"/>
  <c r="AD70" i="6"/>
  <c r="J70" i="6"/>
  <c r="H71" i="6" l="1"/>
  <c r="C70" i="6"/>
  <c r="H71" i="3"/>
  <c r="K71" i="3" s="1"/>
  <c r="S71" i="6" s="1"/>
  <c r="Y71" i="6"/>
  <c r="M71" i="5"/>
  <c r="L71" i="4"/>
  <c r="X71" i="6" s="1"/>
  <c r="B70" i="6"/>
  <c r="H71" i="2"/>
  <c r="K71" i="2" s="1"/>
  <c r="R71" i="6" s="1"/>
  <c r="G71" i="6" l="1"/>
  <c r="L71" i="3"/>
  <c r="AC71" i="6"/>
  <c r="N71" i="5"/>
  <c r="M71" i="4"/>
  <c r="AB71" i="6" s="1"/>
  <c r="F71" i="6"/>
  <c r="L71" i="2"/>
  <c r="G71" i="5" l="1"/>
  <c r="I71" i="5"/>
  <c r="W71" i="6"/>
  <c r="M71" i="3"/>
  <c r="AG71" i="6"/>
  <c r="M71" i="6"/>
  <c r="N71" i="4"/>
  <c r="M71" i="2"/>
  <c r="V71" i="6"/>
  <c r="G76" i="4" l="1"/>
  <c r="I71" i="4"/>
  <c r="AF71" i="6"/>
  <c r="AA71" i="6"/>
  <c r="N71" i="3"/>
  <c r="H72" i="5"/>
  <c r="K72" i="5" s="1"/>
  <c r="U72" i="6" s="1"/>
  <c r="E71" i="6"/>
  <c r="L71" i="6"/>
  <c r="N71" i="2"/>
  <c r="Z71" i="6"/>
  <c r="G71" i="2" l="1"/>
  <c r="I71" i="2"/>
  <c r="G71" i="3"/>
  <c r="I71" i="3"/>
  <c r="K71" i="6" s="1"/>
  <c r="AE71" i="6"/>
  <c r="L72" i="5"/>
  <c r="I72" i="6"/>
  <c r="H72" i="4"/>
  <c r="K72" i="4" s="1"/>
  <c r="T72" i="6" s="1"/>
  <c r="AD71" i="6"/>
  <c r="J71" i="6"/>
  <c r="H72" i="6" l="1"/>
  <c r="C71" i="6"/>
  <c r="H72" i="3"/>
  <c r="K72" i="3" s="1"/>
  <c r="S72" i="6" s="1"/>
  <c r="Y72" i="6"/>
  <c r="M72" i="5"/>
  <c r="L72" i="4"/>
  <c r="X72" i="6" s="1"/>
  <c r="B71" i="6"/>
  <c r="H72" i="2"/>
  <c r="K72" i="2" s="1"/>
  <c r="R72" i="6" s="1"/>
  <c r="G72" i="6" l="1"/>
  <c r="L72" i="3"/>
  <c r="AC72" i="6"/>
  <c r="N72" i="5"/>
  <c r="M72" i="4"/>
  <c r="AB72" i="6" s="1"/>
  <c r="F72" i="6"/>
  <c r="L72" i="2"/>
  <c r="G72" i="5" l="1"/>
  <c r="I72" i="5"/>
  <c r="W72" i="6"/>
  <c r="M72" i="3"/>
  <c r="AG72" i="6"/>
  <c r="M72" i="6"/>
  <c r="N72" i="4"/>
  <c r="M72" i="2"/>
  <c r="V72" i="6"/>
  <c r="G77" i="4" l="1"/>
  <c r="I72" i="4"/>
  <c r="AF72" i="6"/>
  <c r="D72" i="6"/>
  <c r="AA72" i="6"/>
  <c r="N72" i="3"/>
  <c r="H73" i="5"/>
  <c r="K73" i="5" s="1"/>
  <c r="U73" i="6" s="1"/>
  <c r="E72" i="6"/>
  <c r="D76" i="6"/>
  <c r="L72" i="6"/>
  <c r="N72" i="2"/>
  <c r="Z72" i="6"/>
  <c r="G72" i="2" l="1"/>
  <c r="I72" i="2"/>
  <c r="G72" i="3"/>
  <c r="I72" i="3"/>
  <c r="AE72" i="6"/>
  <c r="K72" i="6"/>
  <c r="I73" i="6"/>
  <c r="L73" i="5"/>
  <c r="H73" i="4"/>
  <c r="K73" i="4" s="1"/>
  <c r="T73" i="6" s="1"/>
  <c r="AD72" i="6"/>
  <c r="J72" i="6"/>
  <c r="H73" i="6" l="1"/>
  <c r="C72" i="6"/>
  <c r="H73" i="3"/>
  <c r="K73" i="3" s="1"/>
  <c r="S73" i="6" s="1"/>
  <c r="M73" i="5"/>
  <c r="Y73" i="6"/>
  <c r="L73" i="4"/>
  <c r="X73" i="6" s="1"/>
  <c r="B72" i="6"/>
  <c r="H73" i="2"/>
  <c r="K73" i="2" s="1"/>
  <c r="R73" i="6" s="1"/>
  <c r="G73" i="6" l="1"/>
  <c r="L73" i="3"/>
  <c r="AC73" i="6"/>
  <c r="N73" i="5"/>
  <c r="M73" i="4"/>
  <c r="AB73" i="6" s="1"/>
  <c r="F73" i="6"/>
  <c r="L73" i="2"/>
  <c r="G73" i="5" l="1"/>
  <c r="I73" i="5"/>
  <c r="W73" i="6"/>
  <c r="M73" i="3"/>
  <c r="AG73" i="6"/>
  <c r="M73" i="6"/>
  <c r="N73" i="4"/>
  <c r="M73" i="2"/>
  <c r="V73" i="6"/>
  <c r="G78" i="4" l="1"/>
  <c r="I73" i="4"/>
  <c r="L73" i="6" s="1"/>
  <c r="AF73" i="6"/>
  <c r="D77" i="6"/>
  <c r="AA73" i="6"/>
  <c r="N73" i="3"/>
  <c r="H74" i="5"/>
  <c r="K74" i="5" s="1"/>
  <c r="U74" i="6" s="1"/>
  <c r="E73" i="6"/>
  <c r="N73" i="2"/>
  <c r="Z73" i="6"/>
  <c r="G73" i="2" l="1"/>
  <c r="I73" i="2"/>
  <c r="G73" i="3"/>
  <c r="I73" i="3"/>
  <c r="AE73" i="6"/>
  <c r="K73" i="6"/>
  <c r="L74" i="5"/>
  <c r="I74" i="6"/>
  <c r="H74" i="4"/>
  <c r="K74" i="4" s="1"/>
  <c r="T74" i="6" s="1"/>
  <c r="AD73" i="6"/>
  <c r="J73" i="6"/>
  <c r="H74" i="6" l="1"/>
  <c r="C73" i="6"/>
  <c r="H74" i="3"/>
  <c r="K74" i="3" s="1"/>
  <c r="S74" i="6" s="1"/>
  <c r="Y74" i="6"/>
  <c r="M74" i="5"/>
  <c r="L74" i="4"/>
  <c r="X74" i="6" s="1"/>
  <c r="B73" i="6"/>
  <c r="H74" i="2"/>
  <c r="K74" i="2" s="1"/>
  <c r="R74" i="6" s="1"/>
  <c r="G74" i="6" l="1"/>
  <c r="L74" i="3"/>
  <c r="AC74" i="6"/>
  <c r="N74" i="5"/>
  <c r="M74" i="4"/>
  <c r="AB74" i="6" s="1"/>
  <c r="F74" i="6"/>
  <c r="L74" i="2"/>
  <c r="G74" i="5" l="1"/>
  <c r="I74" i="5"/>
  <c r="W74" i="6"/>
  <c r="M74" i="3"/>
  <c r="AG74" i="6"/>
  <c r="M74" i="6"/>
  <c r="N74" i="4"/>
  <c r="M74" i="2"/>
  <c r="V74" i="6"/>
  <c r="G79" i="4" l="1"/>
  <c r="I74" i="4"/>
  <c r="AF74" i="6"/>
  <c r="AA74" i="6"/>
  <c r="N74" i="3"/>
  <c r="H75" i="5"/>
  <c r="K75" i="5" s="1"/>
  <c r="U75" i="6" s="1"/>
  <c r="E74" i="6"/>
  <c r="L74" i="6"/>
  <c r="N74" i="2"/>
  <c r="Z74" i="6"/>
  <c r="G74" i="2" l="1"/>
  <c r="I74" i="2"/>
  <c r="G74" i="3"/>
  <c r="I74" i="3"/>
  <c r="AE74" i="6"/>
  <c r="K74" i="6"/>
  <c r="I75" i="6"/>
  <c r="L75" i="5"/>
  <c r="H75" i="4"/>
  <c r="K75" i="4" s="1"/>
  <c r="T75" i="6" s="1"/>
  <c r="AD74" i="6"/>
  <c r="J74" i="6"/>
  <c r="H75" i="6" l="1"/>
  <c r="C74" i="6"/>
  <c r="H75" i="3"/>
  <c r="K75" i="3" s="1"/>
  <c r="S75" i="6" s="1"/>
  <c r="M75" i="5"/>
  <c r="Y75" i="6"/>
  <c r="L75" i="4"/>
  <c r="X75" i="6" s="1"/>
  <c r="B74" i="6"/>
  <c r="H75" i="2"/>
  <c r="K75" i="2" s="1"/>
  <c r="R75" i="6" s="1"/>
  <c r="G75" i="6" l="1"/>
  <c r="L75" i="3"/>
  <c r="AC75" i="6"/>
  <c r="N75" i="5"/>
  <c r="M75" i="4"/>
  <c r="AB75" i="6" s="1"/>
  <c r="F75" i="6"/>
  <c r="L75" i="2"/>
  <c r="G75" i="5" l="1"/>
  <c r="I75" i="5"/>
  <c r="W75" i="6"/>
  <c r="M75" i="3"/>
  <c r="AG75" i="6"/>
  <c r="M75" i="6"/>
  <c r="N75" i="4"/>
  <c r="M75" i="2"/>
  <c r="V75" i="6"/>
  <c r="G80" i="4" l="1"/>
  <c r="I75" i="4"/>
  <c r="AF75" i="6"/>
  <c r="D75" i="6"/>
  <c r="AA75" i="6"/>
  <c r="N75" i="3"/>
  <c r="H76" i="5"/>
  <c r="K76" i="5" s="1"/>
  <c r="U76" i="6" s="1"/>
  <c r="E75" i="6"/>
  <c r="D79" i="6"/>
  <c r="L75" i="6"/>
  <c r="N75" i="2"/>
  <c r="Z75" i="6"/>
  <c r="G75" i="2" l="1"/>
  <c r="I75" i="2"/>
  <c r="G75" i="3"/>
  <c r="I75" i="3"/>
  <c r="AE75" i="6"/>
  <c r="K75" i="6"/>
  <c r="L76" i="5"/>
  <c r="I76" i="6"/>
  <c r="H76" i="4"/>
  <c r="K76" i="4" s="1"/>
  <c r="T76" i="6" s="1"/>
  <c r="AD75" i="6"/>
  <c r="J75" i="6"/>
  <c r="H76" i="6" l="1"/>
  <c r="C75" i="6"/>
  <c r="H76" i="3"/>
  <c r="K76" i="3" s="1"/>
  <c r="S76" i="6" s="1"/>
  <c r="M76" i="5"/>
  <c r="Y76" i="6"/>
  <c r="L76" i="4"/>
  <c r="X76" i="6" s="1"/>
  <c r="B75" i="6"/>
  <c r="H76" i="2"/>
  <c r="K76" i="2" s="1"/>
  <c r="R76" i="6" s="1"/>
  <c r="G76" i="6" l="1"/>
  <c r="L76" i="3"/>
  <c r="AC76" i="6"/>
  <c r="N76" i="5"/>
  <c r="M76" i="4"/>
  <c r="AB76" i="6" s="1"/>
  <c r="F76" i="6"/>
  <c r="L76" i="2"/>
  <c r="G76" i="5" l="1"/>
  <c r="I76" i="5"/>
  <c r="W76" i="6"/>
  <c r="M76" i="3"/>
  <c r="AG76" i="6"/>
  <c r="M76" i="6"/>
  <c r="N76" i="4"/>
  <c r="M76" i="2"/>
  <c r="V76" i="6"/>
  <c r="G81" i="4" l="1"/>
  <c r="I76" i="4"/>
  <c r="L76" i="6" s="1"/>
  <c r="AF76" i="6"/>
  <c r="D80" i="6"/>
  <c r="AA76" i="6"/>
  <c r="N76" i="3"/>
  <c r="H77" i="5"/>
  <c r="K77" i="5" s="1"/>
  <c r="U77" i="6" s="1"/>
  <c r="E76" i="6"/>
  <c r="N76" i="2"/>
  <c r="Z76" i="6"/>
  <c r="G76" i="2" l="1"/>
  <c r="I76" i="2"/>
  <c r="G76" i="3"/>
  <c r="I76" i="3"/>
  <c r="AE76" i="6"/>
  <c r="K76" i="6"/>
  <c r="I77" i="6"/>
  <c r="L77" i="5"/>
  <c r="H77" i="4"/>
  <c r="K77" i="4" s="1"/>
  <c r="T77" i="6" s="1"/>
  <c r="AD76" i="6"/>
  <c r="J76" i="6"/>
  <c r="H77" i="6" l="1"/>
  <c r="C76" i="6"/>
  <c r="H77" i="3"/>
  <c r="K77" i="3" s="1"/>
  <c r="S77" i="6" s="1"/>
  <c r="M77" i="5"/>
  <c r="Y77" i="6"/>
  <c r="L77" i="4"/>
  <c r="X77" i="6" s="1"/>
  <c r="B76" i="6"/>
  <c r="H77" i="2"/>
  <c r="K77" i="2" s="1"/>
  <c r="R77" i="6" s="1"/>
  <c r="G77" i="6" l="1"/>
  <c r="L77" i="3"/>
  <c r="AC77" i="6"/>
  <c r="N77" i="5"/>
  <c r="M77" i="4"/>
  <c r="AB77" i="6" s="1"/>
  <c r="F77" i="6"/>
  <c r="L77" i="2"/>
  <c r="G77" i="5" l="1"/>
  <c r="I77" i="5"/>
  <c r="W77" i="6"/>
  <c r="M77" i="3"/>
  <c r="AG77" i="6"/>
  <c r="M77" i="6"/>
  <c r="N77" i="4"/>
  <c r="M77" i="2"/>
  <c r="V77" i="6"/>
  <c r="G82" i="4" l="1"/>
  <c r="I77" i="4"/>
  <c r="AF77" i="6"/>
  <c r="AA77" i="6"/>
  <c r="N77" i="3"/>
  <c r="E77" i="6"/>
  <c r="H78" i="5"/>
  <c r="K78" i="5" s="1"/>
  <c r="U78" i="6" s="1"/>
  <c r="L77" i="6"/>
  <c r="N77" i="2"/>
  <c r="Z77" i="6"/>
  <c r="G77" i="2" l="1"/>
  <c r="I77" i="2"/>
  <c r="G77" i="3"/>
  <c r="I77" i="3"/>
  <c r="AE77" i="6"/>
  <c r="K77" i="6"/>
  <c r="I78" i="6"/>
  <c r="L78" i="5"/>
  <c r="H78" i="4"/>
  <c r="K78" i="4" s="1"/>
  <c r="T78" i="6" s="1"/>
  <c r="AD77" i="6"/>
  <c r="J77" i="6"/>
  <c r="H78" i="6" l="1"/>
  <c r="C77" i="6"/>
  <c r="H78" i="3"/>
  <c r="K78" i="3" s="1"/>
  <c r="S78" i="6" s="1"/>
  <c r="Y78" i="6"/>
  <c r="M78" i="5"/>
  <c r="L78" i="4"/>
  <c r="X78" i="6" s="1"/>
  <c r="B77" i="6"/>
  <c r="H78" i="2"/>
  <c r="K78" i="2" s="1"/>
  <c r="R78" i="6" s="1"/>
  <c r="G78" i="6" l="1"/>
  <c r="L78" i="3"/>
  <c r="N78" i="5"/>
  <c r="AC78" i="6"/>
  <c r="M78" i="4"/>
  <c r="AB78" i="6" s="1"/>
  <c r="F78" i="6"/>
  <c r="L78" i="2"/>
  <c r="G78" i="5" l="1"/>
  <c r="I78" i="5"/>
  <c r="W78" i="6"/>
  <c r="M78" i="3"/>
  <c r="AG78" i="6"/>
  <c r="M78" i="6"/>
  <c r="N78" i="4"/>
  <c r="M78" i="2"/>
  <c r="V78" i="6"/>
  <c r="G83" i="4" l="1"/>
  <c r="I78" i="4"/>
  <c r="AF78" i="6"/>
  <c r="D78" i="6"/>
  <c r="AA78" i="6"/>
  <c r="N78" i="3"/>
  <c r="E78" i="6"/>
  <c r="H79" i="5"/>
  <c r="K79" i="5" s="1"/>
  <c r="U79" i="6" s="1"/>
  <c r="D82" i="6"/>
  <c r="L78" i="6"/>
  <c r="N78" i="2"/>
  <c r="Z78" i="6"/>
  <c r="G78" i="2" l="1"/>
  <c r="B78" i="6" s="1"/>
  <c r="I78" i="2"/>
  <c r="G78" i="3"/>
  <c r="I78" i="3"/>
  <c r="AE78" i="6"/>
  <c r="K78" i="6"/>
  <c r="I79" i="6"/>
  <c r="L79" i="5"/>
  <c r="H79" i="4"/>
  <c r="K79" i="4" s="1"/>
  <c r="T79" i="6" s="1"/>
  <c r="AD78" i="6"/>
  <c r="H79" i="6" l="1"/>
  <c r="C78" i="6"/>
  <c r="H79" i="3"/>
  <c r="K79" i="3" s="1"/>
  <c r="S79" i="6" s="1"/>
  <c r="Y79" i="6"/>
  <c r="M79" i="5"/>
  <c r="L79" i="4"/>
  <c r="X79" i="6" s="1"/>
  <c r="H79" i="2"/>
  <c r="K79" i="2" s="1"/>
  <c r="R79" i="6" s="1"/>
  <c r="J78" i="6"/>
  <c r="G79" i="6" l="1"/>
  <c r="L79" i="3"/>
  <c r="N79" i="5"/>
  <c r="AC79" i="6"/>
  <c r="M79" i="4"/>
  <c r="AB79" i="6" s="1"/>
  <c r="F79" i="6"/>
  <c r="L79" i="2"/>
  <c r="G79" i="5" l="1"/>
  <c r="I79" i="5"/>
  <c r="W79" i="6"/>
  <c r="M79" i="3"/>
  <c r="AG79" i="6"/>
  <c r="M79" i="6"/>
  <c r="N79" i="4"/>
  <c r="M79" i="2"/>
  <c r="V79" i="6"/>
  <c r="G84" i="4" l="1"/>
  <c r="I79" i="4"/>
  <c r="L79" i="6" s="1"/>
  <c r="AF79" i="6"/>
  <c r="D83" i="6"/>
  <c r="AA79" i="6"/>
  <c r="N79" i="3"/>
  <c r="H80" i="5"/>
  <c r="K80" i="5" s="1"/>
  <c r="U80" i="6" s="1"/>
  <c r="E79" i="6"/>
  <c r="N79" i="2"/>
  <c r="Z79" i="6"/>
  <c r="G79" i="2" l="1"/>
  <c r="I79" i="2"/>
  <c r="G79" i="3"/>
  <c r="I79" i="3"/>
  <c r="AE79" i="6"/>
  <c r="K79" i="6"/>
  <c r="I80" i="6"/>
  <c r="L80" i="5"/>
  <c r="H80" i="4"/>
  <c r="K80" i="4" s="1"/>
  <c r="T80" i="6" s="1"/>
  <c r="B79" i="6"/>
  <c r="AD79" i="6"/>
  <c r="H80" i="6" l="1"/>
  <c r="C79" i="6"/>
  <c r="H80" i="3"/>
  <c r="K80" i="3" s="1"/>
  <c r="S80" i="6" s="1"/>
  <c r="Y80" i="6"/>
  <c r="M80" i="5"/>
  <c r="L80" i="4"/>
  <c r="X80" i="6" s="1"/>
  <c r="H80" i="2"/>
  <c r="K80" i="2" s="1"/>
  <c r="R80" i="6" s="1"/>
  <c r="J79" i="6"/>
  <c r="G80" i="6" l="1"/>
  <c r="L80" i="3"/>
  <c r="AC80" i="6"/>
  <c r="N80" i="5"/>
  <c r="M80" i="4"/>
  <c r="AB80" i="6" s="1"/>
  <c r="F80" i="6"/>
  <c r="L80" i="2"/>
  <c r="G80" i="5" l="1"/>
  <c r="I80" i="5"/>
  <c r="W80" i="6"/>
  <c r="M80" i="3"/>
  <c r="AG80" i="6"/>
  <c r="M80" i="6"/>
  <c r="N80" i="4"/>
  <c r="M80" i="2"/>
  <c r="V80" i="6"/>
  <c r="G85" i="4" l="1"/>
  <c r="I80" i="4"/>
  <c r="AF80" i="6"/>
  <c r="AA80" i="6"/>
  <c r="N80" i="3"/>
  <c r="H81" i="5"/>
  <c r="K81" i="5" s="1"/>
  <c r="U81" i="6" s="1"/>
  <c r="E80" i="6"/>
  <c r="L80" i="6"/>
  <c r="N80" i="2"/>
  <c r="Z80" i="6"/>
  <c r="G80" i="2" l="1"/>
  <c r="I80" i="2"/>
  <c r="J80" i="6" s="1"/>
  <c r="G80" i="3"/>
  <c r="I80" i="3"/>
  <c r="AE80" i="6"/>
  <c r="K80" i="6"/>
  <c r="L81" i="5"/>
  <c r="I81" i="6"/>
  <c r="H81" i="4"/>
  <c r="K81" i="4" s="1"/>
  <c r="T81" i="6" s="1"/>
  <c r="AD80" i="6"/>
  <c r="H81" i="6" l="1"/>
  <c r="C80" i="6"/>
  <c r="H81" i="3"/>
  <c r="K81" i="3" s="1"/>
  <c r="S81" i="6" s="1"/>
  <c r="Y81" i="6"/>
  <c r="M81" i="5"/>
  <c r="L81" i="4"/>
  <c r="X81" i="6" s="1"/>
  <c r="H81" i="2"/>
  <c r="K81" i="2" s="1"/>
  <c r="R81" i="6" s="1"/>
  <c r="B80" i="6"/>
  <c r="G81" i="6" l="1"/>
  <c r="L81" i="3"/>
  <c r="AC81" i="6"/>
  <c r="N81" i="5"/>
  <c r="M81" i="4"/>
  <c r="AB81" i="6" s="1"/>
  <c r="F81" i="6"/>
  <c r="L81" i="2"/>
  <c r="G81" i="5" l="1"/>
  <c r="I81" i="5"/>
  <c r="W81" i="6"/>
  <c r="M81" i="3"/>
  <c r="AG81" i="6"/>
  <c r="M81" i="6"/>
  <c r="N81" i="4"/>
  <c r="M81" i="2"/>
  <c r="V81" i="6"/>
  <c r="G86" i="4" l="1"/>
  <c r="I81" i="4"/>
  <c r="L81" i="6" s="1"/>
  <c r="AF81" i="6"/>
  <c r="D81" i="6"/>
  <c r="AA81" i="6"/>
  <c r="N81" i="3"/>
  <c r="E81" i="6"/>
  <c r="H82" i="5"/>
  <c r="K82" i="5" s="1"/>
  <c r="U82" i="6" s="1"/>
  <c r="N81" i="2"/>
  <c r="Z81" i="6"/>
  <c r="G81" i="2" l="1"/>
  <c r="I81" i="2"/>
  <c r="J81" i="6" s="1"/>
  <c r="G81" i="3"/>
  <c r="I81" i="3"/>
  <c r="AE81" i="6"/>
  <c r="K81" i="6"/>
  <c r="L82" i="5"/>
  <c r="I82" i="6"/>
  <c r="H82" i="4"/>
  <c r="K82" i="4" s="1"/>
  <c r="T82" i="6" s="1"/>
  <c r="AD81" i="6"/>
  <c r="H82" i="6" l="1"/>
  <c r="C81" i="6"/>
  <c r="H82" i="3"/>
  <c r="K82" i="3" s="1"/>
  <c r="S82" i="6" s="1"/>
  <c r="Y82" i="6"/>
  <c r="M82" i="5"/>
  <c r="L82" i="4"/>
  <c r="X82" i="6" s="1"/>
  <c r="B81" i="6"/>
  <c r="H82" i="2"/>
  <c r="K82" i="2" s="1"/>
  <c r="R82" i="6" s="1"/>
  <c r="G82" i="6" l="1"/>
  <c r="L82" i="3"/>
  <c r="N82" i="5"/>
  <c r="AC82" i="6"/>
  <c r="M82" i="4"/>
  <c r="AB82" i="6" s="1"/>
  <c r="L82" i="2"/>
  <c r="F82" i="6"/>
  <c r="G82" i="5" l="1"/>
  <c r="I82" i="5"/>
  <c r="W82" i="6"/>
  <c r="M82" i="3"/>
  <c r="AG82" i="6"/>
  <c r="M82" i="6"/>
  <c r="N82" i="4"/>
  <c r="M82" i="2"/>
  <c r="V82" i="6"/>
  <c r="G87" i="4" l="1"/>
  <c r="I82" i="4"/>
  <c r="AF82" i="6"/>
  <c r="AA82" i="6"/>
  <c r="N82" i="3"/>
  <c r="E82" i="6"/>
  <c r="H83" i="5"/>
  <c r="K83" i="5" s="1"/>
  <c r="U83" i="6" s="1"/>
  <c r="L82" i="6"/>
  <c r="N82" i="2"/>
  <c r="Z82" i="6"/>
  <c r="G82" i="2" l="1"/>
  <c r="I82" i="2"/>
  <c r="G82" i="3"/>
  <c r="I82" i="3"/>
  <c r="AE82" i="6"/>
  <c r="K82" i="6"/>
  <c r="I83" i="6"/>
  <c r="L83" i="5"/>
  <c r="H83" i="4"/>
  <c r="K83" i="4" s="1"/>
  <c r="T83" i="6" s="1"/>
  <c r="AD82" i="6"/>
  <c r="J82" i="6"/>
  <c r="H83" i="6" l="1"/>
  <c r="C82" i="6"/>
  <c r="H83" i="3"/>
  <c r="K83" i="3" s="1"/>
  <c r="S83" i="6" s="1"/>
  <c r="Y83" i="6"/>
  <c r="M83" i="5"/>
  <c r="L83" i="4"/>
  <c r="X83" i="6" s="1"/>
  <c r="B82" i="6"/>
  <c r="H83" i="2"/>
  <c r="K83" i="2" s="1"/>
  <c r="R83" i="6" s="1"/>
  <c r="G83" i="6" l="1"/>
  <c r="L83" i="3"/>
  <c r="AC83" i="6"/>
  <c r="N83" i="5"/>
  <c r="M83" i="4"/>
  <c r="AB83" i="6" s="1"/>
  <c r="F83" i="6"/>
  <c r="L83" i="2"/>
  <c r="G83" i="5" l="1"/>
  <c r="I83" i="5"/>
  <c r="W83" i="6"/>
  <c r="M83" i="3"/>
  <c r="AG83" i="6"/>
  <c r="M83" i="6"/>
  <c r="N83" i="4"/>
  <c r="M83" i="2"/>
  <c r="V83" i="6"/>
  <c r="G88" i="4" l="1"/>
  <c r="I83" i="4"/>
  <c r="AF83" i="6"/>
  <c r="AA83" i="6"/>
  <c r="N83" i="3"/>
  <c r="E83" i="6"/>
  <c r="H84" i="5"/>
  <c r="K84" i="5" s="1"/>
  <c r="U84" i="6" s="1"/>
  <c r="L83" i="6"/>
  <c r="N83" i="2"/>
  <c r="Z83" i="6"/>
  <c r="G83" i="2" l="1"/>
  <c r="B83" i="6" s="1"/>
  <c r="I83" i="2"/>
  <c r="G83" i="3"/>
  <c r="I83" i="3"/>
  <c r="AE83" i="6"/>
  <c r="K83" i="6"/>
  <c r="L84" i="5"/>
  <c r="I84" i="6"/>
  <c r="H84" i="4"/>
  <c r="K84" i="4" s="1"/>
  <c r="T84" i="6" s="1"/>
  <c r="AD83" i="6"/>
  <c r="H84" i="6" l="1"/>
  <c r="C83" i="6"/>
  <c r="H84" i="3"/>
  <c r="K84" i="3" s="1"/>
  <c r="S84" i="6" s="1"/>
  <c r="M84" i="5"/>
  <c r="Y84" i="6"/>
  <c r="L84" i="4"/>
  <c r="X84" i="6" s="1"/>
  <c r="H84" i="2"/>
  <c r="K84" i="2" s="1"/>
  <c r="R84" i="6" s="1"/>
  <c r="J83" i="6"/>
  <c r="G84" i="6" l="1"/>
  <c r="L84" i="3"/>
  <c r="N84" i="5"/>
  <c r="AC84" i="6"/>
  <c r="M84" i="4"/>
  <c r="AB84" i="6" s="1"/>
  <c r="L84" i="2"/>
  <c r="F84" i="6"/>
  <c r="G84" i="5" l="1"/>
  <c r="I84" i="5"/>
  <c r="W84" i="6"/>
  <c r="M84" i="3"/>
  <c r="AG84" i="6"/>
  <c r="M84" i="6"/>
  <c r="N84" i="4"/>
  <c r="M84" i="2"/>
  <c r="V84" i="6"/>
  <c r="G89" i="4" l="1"/>
  <c r="I84" i="4"/>
  <c r="L84" i="6" s="1"/>
  <c r="AF84" i="6"/>
  <c r="D84" i="6"/>
  <c r="AA84" i="6"/>
  <c r="N84" i="3"/>
  <c r="E84" i="6"/>
  <c r="H85" i="5"/>
  <c r="K85" i="5" s="1"/>
  <c r="U85" i="6" s="1"/>
  <c r="N84" i="2"/>
  <c r="Z84" i="6"/>
  <c r="G84" i="2" l="1"/>
  <c r="I84" i="2"/>
  <c r="G84" i="3"/>
  <c r="I84" i="3"/>
  <c r="AE84" i="6"/>
  <c r="K84" i="6"/>
  <c r="L85" i="5"/>
  <c r="I85" i="6"/>
  <c r="H85" i="4"/>
  <c r="K85" i="4" s="1"/>
  <c r="T85" i="6" s="1"/>
  <c r="AD84" i="6"/>
  <c r="H85" i="6" l="1"/>
  <c r="C84" i="6"/>
  <c r="H85" i="3"/>
  <c r="K85" i="3" s="1"/>
  <c r="S85" i="6" s="1"/>
  <c r="Y85" i="6"/>
  <c r="M85" i="5"/>
  <c r="L85" i="4"/>
  <c r="X85" i="6" s="1"/>
  <c r="J84" i="6"/>
  <c r="B84" i="6"/>
  <c r="H85" i="2"/>
  <c r="K85" i="2" s="1"/>
  <c r="R85" i="6" s="1"/>
  <c r="G85" i="6" l="1"/>
  <c r="L85" i="3"/>
  <c r="N85" i="5"/>
  <c r="AC85" i="6"/>
  <c r="M85" i="4"/>
  <c r="AB85" i="6" s="1"/>
  <c r="F85" i="6"/>
  <c r="L85" i="2"/>
  <c r="G85" i="5" l="1"/>
  <c r="I85" i="5"/>
  <c r="W85" i="6"/>
  <c r="M85" i="3"/>
  <c r="AG85" i="6"/>
  <c r="M85" i="6"/>
  <c r="N85" i="4"/>
  <c r="M85" i="2"/>
  <c r="V85" i="6"/>
  <c r="G90" i="4" l="1"/>
  <c r="I85" i="4"/>
  <c r="L85" i="6" s="1"/>
  <c r="AF85" i="6"/>
  <c r="D85" i="6"/>
  <c r="AA85" i="6"/>
  <c r="N85" i="3"/>
  <c r="H86" i="5"/>
  <c r="K86" i="5" s="1"/>
  <c r="U86" i="6" s="1"/>
  <c r="E85" i="6"/>
  <c r="N85" i="2"/>
  <c r="Z85" i="6"/>
  <c r="G85" i="2" l="1"/>
  <c r="I85" i="2"/>
  <c r="G85" i="3"/>
  <c r="I85" i="3"/>
  <c r="AE85" i="6"/>
  <c r="K85" i="6"/>
  <c r="L86" i="5"/>
  <c r="I86" i="6"/>
  <c r="H86" i="4"/>
  <c r="K86" i="4" s="1"/>
  <c r="T86" i="6" s="1"/>
  <c r="AD85" i="6"/>
  <c r="J85" i="6"/>
  <c r="H86" i="6" l="1"/>
  <c r="C85" i="6"/>
  <c r="H86" i="3"/>
  <c r="K86" i="3" s="1"/>
  <c r="S86" i="6" s="1"/>
  <c r="M86" i="5"/>
  <c r="Y86" i="6"/>
  <c r="L86" i="4"/>
  <c r="X86" i="6" s="1"/>
  <c r="B85" i="6"/>
  <c r="H86" i="2"/>
  <c r="K86" i="2" s="1"/>
  <c r="R86" i="6" s="1"/>
  <c r="G86" i="6" l="1"/>
  <c r="L86" i="3"/>
  <c r="AC86" i="6"/>
  <c r="N86" i="5"/>
  <c r="M86" i="4"/>
  <c r="AB86" i="6" s="1"/>
  <c r="F86" i="6"/>
  <c r="L86" i="2"/>
  <c r="G86" i="5" l="1"/>
  <c r="I86" i="5"/>
  <c r="W86" i="6"/>
  <c r="M86" i="3"/>
  <c r="AG86" i="6"/>
  <c r="M86" i="6"/>
  <c r="N86" i="4"/>
  <c r="M86" i="2"/>
  <c r="V86" i="6"/>
  <c r="G91" i="4" l="1"/>
  <c r="I86" i="4"/>
  <c r="L86" i="6" s="1"/>
  <c r="AF86" i="6"/>
  <c r="D86" i="6"/>
  <c r="AA86" i="6"/>
  <c r="N86" i="3"/>
  <c r="E86" i="6"/>
  <c r="H87" i="5"/>
  <c r="K87" i="5" s="1"/>
  <c r="U87" i="6" s="1"/>
  <c r="N86" i="2"/>
  <c r="Z86" i="6"/>
  <c r="G86" i="2" l="1"/>
  <c r="I86" i="2"/>
  <c r="G86" i="3"/>
  <c r="I86" i="3"/>
  <c r="AE86" i="6"/>
  <c r="K86" i="6"/>
  <c r="L87" i="5"/>
  <c r="I87" i="6"/>
  <c r="H87" i="4"/>
  <c r="K87" i="4" s="1"/>
  <c r="T87" i="6" s="1"/>
  <c r="AD86" i="6"/>
  <c r="H87" i="6" l="1"/>
  <c r="C86" i="6"/>
  <c r="H87" i="3"/>
  <c r="K87" i="3" s="1"/>
  <c r="S87" i="6" s="1"/>
  <c r="M87" i="5"/>
  <c r="Y87" i="6"/>
  <c r="L87" i="4"/>
  <c r="X87" i="6" s="1"/>
  <c r="J86" i="6"/>
  <c r="B86" i="6"/>
  <c r="H87" i="2"/>
  <c r="K87" i="2" s="1"/>
  <c r="R87" i="6" s="1"/>
  <c r="G87" i="6" l="1"/>
  <c r="L87" i="3"/>
  <c r="AC87" i="6"/>
  <c r="N87" i="5"/>
  <c r="M87" i="4"/>
  <c r="AB87" i="6" s="1"/>
  <c r="F87" i="6"/>
  <c r="L87" i="2"/>
  <c r="G87" i="5" l="1"/>
  <c r="I87" i="5"/>
  <c r="W87" i="6"/>
  <c r="M87" i="3"/>
  <c r="AG87" i="6"/>
  <c r="M87" i="6"/>
  <c r="N87" i="4"/>
  <c r="M87" i="2"/>
  <c r="V87" i="6"/>
  <c r="G92" i="4" l="1"/>
  <c r="I87" i="4"/>
  <c r="L87" i="6" s="1"/>
  <c r="AF87" i="6"/>
  <c r="D87" i="6"/>
  <c r="AA87" i="6"/>
  <c r="N87" i="3"/>
  <c r="H88" i="5"/>
  <c r="K88" i="5" s="1"/>
  <c r="U88" i="6" s="1"/>
  <c r="E87" i="6"/>
  <c r="D91" i="6"/>
  <c r="N87" i="2"/>
  <c r="Z87" i="6"/>
  <c r="G87" i="2" l="1"/>
  <c r="I87" i="2"/>
  <c r="J87" i="6" s="1"/>
  <c r="G87" i="3"/>
  <c r="I87" i="3"/>
  <c r="AE87" i="6"/>
  <c r="K87" i="6"/>
  <c r="I88" i="6"/>
  <c r="L88" i="5"/>
  <c r="H88" i="4"/>
  <c r="K88" i="4" s="1"/>
  <c r="T88" i="6" s="1"/>
  <c r="AD87" i="6"/>
  <c r="H88" i="6" l="1"/>
  <c r="C87" i="6"/>
  <c r="H88" i="3"/>
  <c r="K88" i="3" s="1"/>
  <c r="S88" i="6" s="1"/>
  <c r="M88" i="5"/>
  <c r="Y88" i="6"/>
  <c r="L88" i="4"/>
  <c r="X88" i="6" s="1"/>
  <c r="B87" i="6"/>
  <c r="H88" i="2"/>
  <c r="K88" i="2" s="1"/>
  <c r="R88" i="6" s="1"/>
  <c r="G88" i="6" l="1"/>
  <c r="L88" i="3"/>
  <c r="AC88" i="6"/>
  <c r="N88" i="5"/>
  <c r="M88" i="4"/>
  <c r="AB88" i="6" s="1"/>
  <c r="F88" i="6"/>
  <c r="L88" i="2"/>
  <c r="G88" i="5" l="1"/>
  <c r="I88" i="5"/>
  <c r="W88" i="6"/>
  <c r="M88" i="3"/>
  <c r="AG88" i="6"/>
  <c r="M88" i="6"/>
  <c r="N88" i="4"/>
  <c r="M88" i="2"/>
  <c r="V88" i="6"/>
  <c r="G93" i="4" l="1"/>
  <c r="I88" i="4"/>
  <c r="AF88" i="6"/>
  <c r="D88" i="6"/>
  <c r="AA88" i="6"/>
  <c r="N88" i="3"/>
  <c r="E88" i="6"/>
  <c r="H89" i="5"/>
  <c r="K89" i="5" s="1"/>
  <c r="U89" i="6" s="1"/>
  <c r="D92" i="6"/>
  <c r="L88" i="6"/>
  <c r="N88" i="2"/>
  <c r="Z88" i="6"/>
  <c r="G88" i="2" l="1"/>
  <c r="I88" i="2"/>
  <c r="J88" i="6" s="1"/>
  <c r="G88" i="3"/>
  <c r="I88" i="3"/>
  <c r="AE88" i="6"/>
  <c r="K88" i="6"/>
  <c r="L89" i="5"/>
  <c r="I89" i="6"/>
  <c r="H89" i="4"/>
  <c r="K89" i="4" s="1"/>
  <c r="T89" i="6" s="1"/>
  <c r="AD88" i="6"/>
  <c r="H89" i="6" l="1"/>
  <c r="C88" i="6"/>
  <c r="H89" i="3"/>
  <c r="K89" i="3" s="1"/>
  <c r="S89" i="6" s="1"/>
  <c r="M89" i="5"/>
  <c r="Y89" i="6"/>
  <c r="L89" i="4"/>
  <c r="X89" i="6" s="1"/>
  <c r="H89" i="2"/>
  <c r="K89" i="2" s="1"/>
  <c r="R89" i="6" s="1"/>
  <c r="B88" i="6"/>
  <c r="G89" i="6" l="1"/>
  <c r="L89" i="3"/>
  <c r="AC89" i="6"/>
  <c r="N89" i="5"/>
  <c r="M89" i="4"/>
  <c r="AB89" i="6" s="1"/>
  <c r="F89" i="6"/>
  <c r="L89" i="2"/>
  <c r="G89" i="5" l="1"/>
  <c r="I89" i="5"/>
  <c r="W89" i="6"/>
  <c r="M89" i="3"/>
  <c r="AG89" i="6"/>
  <c r="M89" i="6"/>
  <c r="N89" i="4"/>
  <c r="M89" i="2"/>
  <c r="V89" i="6"/>
  <c r="G94" i="4" l="1"/>
  <c r="I89" i="4"/>
  <c r="L89" i="6" s="1"/>
  <c r="AF89" i="6"/>
  <c r="D89" i="6"/>
  <c r="AA89" i="6"/>
  <c r="N89" i="3"/>
  <c r="E89" i="6"/>
  <c r="H90" i="5"/>
  <c r="K90" i="5" s="1"/>
  <c r="U90" i="6" s="1"/>
  <c r="N89" i="2"/>
  <c r="Z89" i="6"/>
  <c r="G89" i="2" l="1"/>
  <c r="I89" i="2"/>
  <c r="G89" i="3"/>
  <c r="I89" i="3"/>
  <c r="AE89" i="6"/>
  <c r="K89" i="6"/>
  <c r="L90" i="5"/>
  <c r="I90" i="6"/>
  <c r="H90" i="4"/>
  <c r="K90" i="4" s="1"/>
  <c r="T90" i="6" s="1"/>
  <c r="AD89" i="6"/>
  <c r="J89" i="6"/>
  <c r="H90" i="6" l="1"/>
  <c r="C89" i="6"/>
  <c r="H90" i="3"/>
  <c r="K90" i="3" s="1"/>
  <c r="S90" i="6" s="1"/>
  <c r="M90" i="5"/>
  <c r="Y90" i="6"/>
  <c r="L90" i="4"/>
  <c r="X90" i="6" s="1"/>
  <c r="B89" i="6"/>
  <c r="H90" i="2"/>
  <c r="K90" i="2" s="1"/>
  <c r="R90" i="6" s="1"/>
  <c r="G90" i="6" l="1"/>
  <c r="L90" i="3"/>
  <c r="N90" i="5"/>
  <c r="AC90" i="6"/>
  <c r="M90" i="4"/>
  <c r="AB90" i="6" s="1"/>
  <c r="F90" i="6"/>
  <c r="L90" i="2"/>
  <c r="G90" i="5" l="1"/>
  <c r="I90" i="5"/>
  <c r="W90" i="6"/>
  <c r="M90" i="3"/>
  <c r="AG90" i="6"/>
  <c r="M90" i="6"/>
  <c r="N90" i="4"/>
  <c r="M90" i="2"/>
  <c r="V90" i="6"/>
  <c r="G95" i="4" l="1"/>
  <c r="I90" i="4"/>
  <c r="AF90" i="6"/>
  <c r="D90" i="6"/>
  <c r="AA90" i="6"/>
  <c r="N90" i="3"/>
  <c r="H91" i="5"/>
  <c r="K91" i="5" s="1"/>
  <c r="U91" i="6" s="1"/>
  <c r="E90" i="6"/>
  <c r="D94" i="6"/>
  <c r="L90" i="6"/>
  <c r="N90" i="2"/>
  <c r="Z90" i="6"/>
  <c r="G90" i="2" l="1"/>
  <c r="I90" i="2"/>
  <c r="G90" i="3"/>
  <c r="I90" i="3"/>
  <c r="AE90" i="6"/>
  <c r="K90" i="6"/>
  <c r="I91" i="6"/>
  <c r="L91" i="5"/>
  <c r="H91" i="4"/>
  <c r="K91" i="4" s="1"/>
  <c r="T91" i="6" s="1"/>
  <c r="AD90" i="6"/>
  <c r="J90" i="6"/>
  <c r="H91" i="6" l="1"/>
  <c r="C90" i="6"/>
  <c r="H91" i="3"/>
  <c r="K91" i="3" s="1"/>
  <c r="S91" i="6" s="1"/>
  <c r="Y91" i="6"/>
  <c r="M91" i="5"/>
  <c r="L91" i="4"/>
  <c r="X91" i="6" s="1"/>
  <c r="B90" i="6"/>
  <c r="H91" i="2"/>
  <c r="K91" i="2" s="1"/>
  <c r="R91" i="6" s="1"/>
  <c r="G91" i="6" l="1"/>
  <c r="L91" i="3"/>
  <c r="AC91" i="6"/>
  <c r="N91" i="5"/>
  <c r="M91" i="4"/>
  <c r="AB91" i="6" s="1"/>
  <c r="F91" i="6"/>
  <c r="L91" i="2"/>
  <c r="G91" i="5" l="1"/>
  <c r="I91" i="5"/>
  <c r="W91" i="6"/>
  <c r="M91" i="3"/>
  <c r="AG91" i="6"/>
  <c r="M91" i="6"/>
  <c r="N91" i="4"/>
  <c r="M91" i="2"/>
  <c r="V91" i="6"/>
  <c r="G96" i="4" l="1"/>
  <c r="I91" i="4"/>
  <c r="L91" i="6" s="1"/>
  <c r="AF91" i="6"/>
  <c r="AA91" i="6"/>
  <c r="N91" i="3"/>
  <c r="E91" i="6"/>
  <c r="H92" i="5"/>
  <c r="K92" i="5" s="1"/>
  <c r="U92" i="6" s="1"/>
  <c r="D95" i="6"/>
  <c r="N91" i="2"/>
  <c r="Z91" i="6"/>
  <c r="G91" i="2" l="1"/>
  <c r="I91" i="2"/>
  <c r="G91" i="3"/>
  <c r="I91" i="3"/>
  <c r="AE91" i="6"/>
  <c r="K91" i="6"/>
  <c r="I92" i="6"/>
  <c r="L92" i="5"/>
  <c r="H92" i="4"/>
  <c r="K92" i="4" s="1"/>
  <c r="T92" i="6" s="1"/>
  <c r="AD91" i="6"/>
  <c r="J91" i="6"/>
  <c r="H92" i="6" l="1"/>
  <c r="C91" i="6"/>
  <c r="H92" i="3"/>
  <c r="K92" i="3" s="1"/>
  <c r="S92" i="6" s="1"/>
  <c r="M92" i="5"/>
  <c r="Y92" i="6"/>
  <c r="L92" i="4"/>
  <c r="X92" i="6" s="1"/>
  <c r="B91" i="6"/>
  <c r="H92" i="2"/>
  <c r="K92" i="2" s="1"/>
  <c r="R92" i="6" s="1"/>
  <c r="G92" i="6" l="1"/>
  <c r="L92" i="3"/>
  <c r="AC92" i="6"/>
  <c r="N92" i="5"/>
  <c r="M92" i="4"/>
  <c r="AB92" i="6" s="1"/>
  <c r="F92" i="6"/>
  <c r="L92" i="2"/>
  <c r="G92" i="5" l="1"/>
  <c r="I92" i="5"/>
  <c r="W92" i="6"/>
  <c r="M92" i="3"/>
  <c r="AG92" i="6"/>
  <c r="M92" i="6"/>
  <c r="N92" i="4"/>
  <c r="M92" i="2"/>
  <c r="V92" i="6"/>
  <c r="G97" i="4" l="1"/>
  <c r="I92" i="4"/>
  <c r="AF92" i="6"/>
  <c r="AA92" i="6"/>
  <c r="N92" i="3"/>
  <c r="E92" i="6"/>
  <c r="H93" i="5"/>
  <c r="K93" i="5" s="1"/>
  <c r="U93" i="6" s="1"/>
  <c r="L92" i="6"/>
  <c r="N92" i="2"/>
  <c r="Z92" i="6"/>
  <c r="G92" i="2" l="1"/>
  <c r="I92" i="2"/>
  <c r="G92" i="3"/>
  <c r="I92" i="3"/>
  <c r="AE92" i="6"/>
  <c r="K92" i="6"/>
  <c r="I93" i="6"/>
  <c r="L93" i="5"/>
  <c r="H93" i="4"/>
  <c r="K93" i="4" s="1"/>
  <c r="T93" i="6" s="1"/>
  <c r="AD92" i="6"/>
  <c r="J92" i="6"/>
  <c r="H93" i="6" l="1"/>
  <c r="C92" i="6"/>
  <c r="H93" i="3"/>
  <c r="K93" i="3" s="1"/>
  <c r="S93" i="6" s="1"/>
  <c r="M93" i="5"/>
  <c r="Y93" i="6"/>
  <c r="L93" i="4"/>
  <c r="X93" i="6" s="1"/>
  <c r="B92" i="6"/>
  <c r="H93" i="2"/>
  <c r="K93" i="2" s="1"/>
  <c r="R93" i="6" s="1"/>
  <c r="G93" i="6" l="1"/>
  <c r="L93" i="3"/>
  <c r="N93" i="5"/>
  <c r="AC93" i="6"/>
  <c r="M93" i="4"/>
  <c r="AB93" i="6" s="1"/>
  <c r="F93" i="6"/>
  <c r="L93" i="2"/>
  <c r="G93" i="5" l="1"/>
  <c r="I93" i="5"/>
  <c r="W93" i="6"/>
  <c r="M93" i="3"/>
  <c r="AG93" i="6"/>
  <c r="M93" i="6"/>
  <c r="N93" i="4"/>
  <c r="M93" i="2"/>
  <c r="V93" i="6"/>
  <c r="G98" i="4" l="1"/>
  <c r="I93" i="4"/>
  <c r="L93" i="6" s="1"/>
  <c r="AF93" i="6"/>
  <c r="D93" i="6"/>
  <c r="AA93" i="6"/>
  <c r="N93" i="3"/>
  <c r="H94" i="5"/>
  <c r="K94" i="5" s="1"/>
  <c r="U94" i="6" s="1"/>
  <c r="E93" i="6"/>
  <c r="D97" i="6"/>
  <c r="N93" i="2"/>
  <c r="Z93" i="6"/>
  <c r="G93" i="2" l="1"/>
  <c r="I93" i="2"/>
  <c r="G93" i="3"/>
  <c r="I93" i="3"/>
  <c r="AE93" i="6"/>
  <c r="K93" i="6"/>
  <c r="I94" i="6"/>
  <c r="L94" i="5"/>
  <c r="H94" i="4"/>
  <c r="K94" i="4" s="1"/>
  <c r="T94" i="6" s="1"/>
  <c r="AD93" i="6"/>
  <c r="J93" i="6"/>
  <c r="H94" i="6" l="1"/>
  <c r="C93" i="6"/>
  <c r="H94" i="3"/>
  <c r="K94" i="3" s="1"/>
  <c r="S94" i="6" s="1"/>
  <c r="M94" i="5"/>
  <c r="Y94" i="6"/>
  <c r="L94" i="4"/>
  <c r="X94" i="6" s="1"/>
  <c r="B93" i="6"/>
  <c r="H94" i="2"/>
  <c r="K94" i="2" s="1"/>
  <c r="R94" i="6" s="1"/>
  <c r="G94" i="6" l="1"/>
  <c r="L94" i="3"/>
  <c r="AC94" i="6"/>
  <c r="N94" i="5"/>
  <c r="M94" i="4"/>
  <c r="AB94" i="6" s="1"/>
  <c r="F94" i="6"/>
  <c r="L94" i="2"/>
  <c r="G94" i="5" l="1"/>
  <c r="I94" i="5"/>
  <c r="W94" i="6"/>
  <c r="M94" i="3"/>
  <c r="AG94" i="6"/>
  <c r="M94" i="6"/>
  <c r="N94" i="4"/>
  <c r="M94" i="2"/>
  <c r="V94" i="6"/>
  <c r="G99" i="4" l="1"/>
  <c r="I94" i="4"/>
  <c r="L94" i="6" s="1"/>
  <c r="AF94" i="6"/>
  <c r="AA94" i="6"/>
  <c r="N94" i="3"/>
  <c r="H95" i="5"/>
  <c r="K95" i="5" s="1"/>
  <c r="U95" i="6" s="1"/>
  <c r="E94" i="6"/>
  <c r="D98" i="6"/>
  <c r="N94" i="2"/>
  <c r="Z94" i="6"/>
  <c r="G94" i="2" l="1"/>
  <c r="I94" i="2"/>
  <c r="G94" i="3"/>
  <c r="I94" i="3"/>
  <c r="AE94" i="6"/>
  <c r="K94" i="6"/>
  <c r="L95" i="5"/>
  <c r="I95" i="6"/>
  <c r="H95" i="4"/>
  <c r="K95" i="4" s="1"/>
  <c r="T95" i="6" s="1"/>
  <c r="AD94" i="6"/>
  <c r="J94" i="6"/>
  <c r="H95" i="6" l="1"/>
  <c r="C94" i="6"/>
  <c r="H95" i="3"/>
  <c r="K95" i="3" s="1"/>
  <c r="S95" i="6" s="1"/>
  <c r="Y95" i="6"/>
  <c r="M95" i="5"/>
  <c r="L95" i="4"/>
  <c r="X95" i="6" s="1"/>
  <c r="B94" i="6"/>
  <c r="H95" i="2"/>
  <c r="K95" i="2" s="1"/>
  <c r="R95" i="6" s="1"/>
  <c r="G95" i="6" l="1"/>
  <c r="L95" i="3"/>
  <c r="AC95" i="6"/>
  <c r="N95" i="5"/>
  <c r="M95" i="4"/>
  <c r="AB95" i="6" s="1"/>
  <c r="F95" i="6"/>
  <c r="L95" i="2"/>
  <c r="G95" i="5" l="1"/>
  <c r="I95" i="5"/>
  <c r="W95" i="6"/>
  <c r="M95" i="3"/>
  <c r="AG95" i="6"/>
  <c r="M95" i="6"/>
  <c r="N95" i="4"/>
  <c r="M95" i="2"/>
  <c r="V95" i="6"/>
  <c r="G100" i="4" l="1"/>
  <c r="I95" i="4"/>
  <c r="AF95" i="6"/>
  <c r="AA95" i="6"/>
  <c r="N95" i="3"/>
  <c r="E95" i="6"/>
  <c r="H96" i="5"/>
  <c r="K96" i="5" s="1"/>
  <c r="U96" i="6" s="1"/>
  <c r="L95" i="6"/>
  <c r="N95" i="2"/>
  <c r="Z95" i="6"/>
  <c r="G95" i="2" l="1"/>
  <c r="I95" i="2"/>
  <c r="G95" i="3"/>
  <c r="I95" i="3"/>
  <c r="AE95" i="6"/>
  <c r="K95" i="6"/>
  <c r="I96" i="6"/>
  <c r="L96" i="5"/>
  <c r="H96" i="4"/>
  <c r="K96" i="4" s="1"/>
  <c r="T96" i="6" s="1"/>
  <c r="AD95" i="6"/>
  <c r="H96" i="6" l="1"/>
  <c r="C95" i="6"/>
  <c r="H96" i="3"/>
  <c r="K96" i="3" s="1"/>
  <c r="S96" i="6" s="1"/>
  <c r="M96" i="5"/>
  <c r="Y96" i="6"/>
  <c r="L96" i="4"/>
  <c r="X96" i="6" s="1"/>
  <c r="B95" i="6"/>
  <c r="H96" i="2"/>
  <c r="K96" i="2" s="1"/>
  <c r="R96" i="6"/>
  <c r="J95" i="6"/>
  <c r="G96" i="6" l="1"/>
  <c r="L96" i="3"/>
  <c r="AC96" i="6"/>
  <c r="N96" i="5"/>
  <c r="M96" i="4"/>
  <c r="AB96" i="6" s="1"/>
  <c r="L96" i="2"/>
  <c r="F96" i="6"/>
  <c r="G96" i="5" l="1"/>
  <c r="I96" i="5"/>
  <c r="W96" i="6"/>
  <c r="M96" i="3"/>
  <c r="AG96" i="6"/>
  <c r="M96" i="6"/>
  <c r="N96" i="4"/>
  <c r="M96" i="2"/>
  <c r="V96" i="6"/>
  <c r="G101" i="4" l="1"/>
  <c r="I96" i="4"/>
  <c r="AF96" i="6"/>
  <c r="D96" i="6"/>
  <c r="AA96" i="6"/>
  <c r="N96" i="3"/>
  <c r="E96" i="6"/>
  <c r="H97" i="5"/>
  <c r="K97" i="5" s="1"/>
  <c r="U97" i="6" s="1"/>
  <c r="D100" i="6"/>
  <c r="L96" i="6"/>
  <c r="N96" i="2"/>
  <c r="Z96" i="6"/>
  <c r="G96" i="2" l="1"/>
  <c r="I96" i="2"/>
  <c r="G96" i="3"/>
  <c r="I96" i="3"/>
  <c r="AE96" i="6"/>
  <c r="K96" i="6"/>
  <c r="L97" i="5"/>
  <c r="I97" i="6"/>
  <c r="H97" i="4"/>
  <c r="K97" i="4" s="1"/>
  <c r="T97" i="6" s="1"/>
  <c r="AD96" i="6"/>
  <c r="J96" i="6"/>
  <c r="H97" i="6" l="1"/>
  <c r="C96" i="6"/>
  <c r="H97" i="3"/>
  <c r="K97" i="3" s="1"/>
  <c r="S97" i="6" s="1"/>
  <c r="Y97" i="6"/>
  <c r="M97" i="5"/>
  <c r="L97" i="4"/>
  <c r="X97" i="6" s="1"/>
  <c r="B96" i="6"/>
  <c r="H97" i="2"/>
  <c r="K97" i="2" s="1"/>
  <c r="R97" i="6" s="1"/>
  <c r="G97" i="6" l="1"/>
  <c r="L97" i="3"/>
  <c r="AC97" i="6"/>
  <c r="N97" i="5"/>
  <c r="M97" i="4"/>
  <c r="AB97" i="6" s="1"/>
  <c r="F97" i="6"/>
  <c r="L97" i="2"/>
  <c r="G97" i="5" l="1"/>
  <c r="I97" i="5"/>
  <c r="W97" i="6"/>
  <c r="M97" i="3"/>
  <c r="AG97" i="6"/>
  <c r="M97" i="6"/>
  <c r="N97" i="4"/>
  <c r="M97" i="2"/>
  <c r="V97" i="6"/>
  <c r="G102" i="4" l="1"/>
  <c r="I97" i="4"/>
  <c r="L97" i="6" s="1"/>
  <c r="AF97" i="6"/>
  <c r="AA97" i="6"/>
  <c r="N97" i="3"/>
  <c r="E97" i="6"/>
  <c r="H98" i="5"/>
  <c r="K98" i="5" s="1"/>
  <c r="U98" i="6" s="1"/>
  <c r="D101" i="6"/>
  <c r="N97" i="2"/>
  <c r="Z97" i="6"/>
  <c r="G97" i="2" l="1"/>
  <c r="I97" i="2"/>
  <c r="G97" i="3"/>
  <c r="I97" i="3"/>
  <c r="AE97" i="6"/>
  <c r="K97" i="6"/>
  <c r="I98" i="6"/>
  <c r="L98" i="5"/>
  <c r="H98" i="4"/>
  <c r="K98" i="4" s="1"/>
  <c r="T98" i="6" s="1"/>
  <c r="AD97" i="6"/>
  <c r="J97" i="6"/>
  <c r="H98" i="6" l="1"/>
  <c r="C97" i="6"/>
  <c r="H98" i="3"/>
  <c r="K98" i="3" s="1"/>
  <c r="S98" i="6" s="1"/>
  <c r="Y98" i="6"/>
  <c r="M98" i="5"/>
  <c r="L98" i="4"/>
  <c r="X98" i="6" s="1"/>
  <c r="B97" i="6"/>
  <c r="H98" i="2"/>
  <c r="K98" i="2" s="1"/>
  <c r="R98" i="6" s="1"/>
  <c r="G98" i="6" l="1"/>
  <c r="L98" i="3"/>
  <c r="AC98" i="6"/>
  <c r="N98" i="5"/>
  <c r="M98" i="4"/>
  <c r="AB98" i="6" s="1"/>
  <c r="F98" i="6"/>
  <c r="L98" i="2"/>
  <c r="G98" i="5" l="1"/>
  <c r="I98" i="5"/>
  <c r="W98" i="6"/>
  <c r="M98" i="3"/>
  <c r="AG98" i="6"/>
  <c r="M98" i="6"/>
  <c r="N98" i="4"/>
  <c r="M98" i="2"/>
  <c r="V98" i="6"/>
  <c r="G103" i="4" l="1"/>
  <c r="I98" i="4"/>
  <c r="AF98" i="6"/>
  <c r="AA98" i="6"/>
  <c r="N98" i="3"/>
  <c r="E98" i="6"/>
  <c r="H99" i="5"/>
  <c r="K99" i="5" s="1"/>
  <c r="U99" i="6" s="1"/>
  <c r="L98" i="6"/>
  <c r="N98" i="2"/>
  <c r="Z98" i="6"/>
  <c r="G98" i="2" l="1"/>
  <c r="I98" i="2"/>
  <c r="G98" i="3"/>
  <c r="I98" i="3"/>
  <c r="AE98" i="6"/>
  <c r="K98" i="6"/>
  <c r="L99" i="5"/>
  <c r="I99" i="6"/>
  <c r="H99" i="4"/>
  <c r="K99" i="4" s="1"/>
  <c r="T99" i="6" s="1"/>
  <c r="AD98" i="6"/>
  <c r="J98" i="6"/>
  <c r="H99" i="6" l="1"/>
  <c r="C98" i="6"/>
  <c r="H99" i="3"/>
  <c r="K99" i="3" s="1"/>
  <c r="S99" i="6" s="1"/>
  <c r="M99" i="5"/>
  <c r="Y99" i="6"/>
  <c r="L99" i="4"/>
  <c r="X99" i="6" s="1"/>
  <c r="B98" i="6"/>
  <c r="H99" i="2"/>
  <c r="K99" i="2" s="1"/>
  <c r="R99" i="6" s="1"/>
  <c r="G99" i="6" l="1"/>
  <c r="L99" i="3"/>
  <c r="AC99" i="6"/>
  <c r="N99" i="5"/>
  <c r="M99" i="4"/>
  <c r="AB99" i="6" s="1"/>
  <c r="F99" i="6"/>
  <c r="L99" i="2"/>
  <c r="G99" i="5" l="1"/>
  <c r="I99" i="5"/>
  <c r="W99" i="6"/>
  <c r="M99" i="3"/>
  <c r="AG99" i="6"/>
  <c r="M99" i="6"/>
  <c r="N99" i="4"/>
  <c r="M99" i="2"/>
  <c r="V99" i="6"/>
  <c r="G104" i="4" l="1"/>
  <c r="I99" i="4"/>
  <c r="AF99" i="6"/>
  <c r="D99" i="6"/>
  <c r="AA99" i="6"/>
  <c r="N99" i="3"/>
  <c r="H100" i="5"/>
  <c r="K100" i="5" s="1"/>
  <c r="U100" i="6" s="1"/>
  <c r="E99" i="6"/>
  <c r="D103" i="6"/>
  <c r="L99" i="6"/>
  <c r="N99" i="2"/>
  <c r="Z99" i="6"/>
  <c r="G99" i="2" l="1"/>
  <c r="I99" i="2"/>
  <c r="G99" i="3"/>
  <c r="I99" i="3"/>
  <c r="AE99" i="6"/>
  <c r="K99" i="6"/>
  <c r="L100" i="5"/>
  <c r="I100" i="6"/>
  <c r="H100" i="4"/>
  <c r="K100" i="4" s="1"/>
  <c r="T100" i="6" s="1"/>
  <c r="AD99" i="6"/>
  <c r="J99" i="6"/>
  <c r="H100" i="6" l="1"/>
  <c r="C99" i="6"/>
  <c r="H100" i="3"/>
  <c r="K100" i="3" s="1"/>
  <c r="S100" i="6" s="1"/>
  <c r="M100" i="5"/>
  <c r="Y100" i="6"/>
  <c r="L100" i="4"/>
  <c r="X100" i="6" s="1"/>
  <c r="B99" i="6"/>
  <c r="H100" i="2"/>
  <c r="K100" i="2" s="1"/>
  <c r="R100" i="6" s="1"/>
  <c r="G100" i="6" l="1"/>
  <c r="L100" i="3"/>
  <c r="AC100" i="6"/>
  <c r="N100" i="5"/>
  <c r="M100" i="4"/>
  <c r="AB100" i="6" s="1"/>
  <c r="F100" i="6"/>
  <c r="L100" i="2"/>
  <c r="G100" i="5" l="1"/>
  <c r="I100" i="5"/>
  <c r="W100" i="6"/>
  <c r="M100" i="3"/>
  <c r="AG100" i="6"/>
  <c r="M100" i="6"/>
  <c r="N100" i="4"/>
  <c r="M100" i="2"/>
  <c r="V100" i="6"/>
  <c r="G105" i="4" l="1"/>
  <c r="I100" i="4"/>
  <c r="L100" i="6" s="1"/>
  <c r="AF100" i="6"/>
  <c r="AA100" i="6"/>
  <c r="N100" i="3"/>
  <c r="E100" i="6"/>
  <c r="H101" i="5"/>
  <c r="K101" i="5" s="1"/>
  <c r="U101" i="6" s="1"/>
  <c r="D104" i="6"/>
  <c r="N100" i="2"/>
  <c r="Z100" i="6"/>
  <c r="G100" i="2" l="1"/>
  <c r="I100" i="2"/>
  <c r="G100" i="3"/>
  <c r="I100" i="3"/>
  <c r="AE100" i="6"/>
  <c r="K100" i="6"/>
  <c r="I101" i="6"/>
  <c r="L101" i="5"/>
  <c r="H101" i="4"/>
  <c r="K101" i="4" s="1"/>
  <c r="T101" i="6" s="1"/>
  <c r="AD100" i="6"/>
  <c r="J100" i="6"/>
  <c r="H101" i="6" l="1"/>
  <c r="C100" i="6"/>
  <c r="H101" i="3"/>
  <c r="K101" i="3" s="1"/>
  <c r="S101" i="6" s="1"/>
  <c r="M101" i="5"/>
  <c r="Y101" i="6"/>
  <c r="L101" i="4"/>
  <c r="X101" i="6" s="1"/>
  <c r="B100" i="6"/>
  <c r="H101" i="2"/>
  <c r="K101" i="2" s="1"/>
  <c r="R101" i="6" s="1"/>
  <c r="G101" i="6" l="1"/>
  <c r="L101" i="3"/>
  <c r="AC101" i="6"/>
  <c r="N101" i="5"/>
  <c r="M101" i="4"/>
  <c r="AB101" i="6" s="1"/>
  <c r="F101" i="6"/>
  <c r="L101" i="2"/>
  <c r="G101" i="5" l="1"/>
  <c r="I101" i="5"/>
  <c r="W101" i="6"/>
  <c r="M101" i="3"/>
  <c r="AG101" i="6"/>
  <c r="M101" i="6"/>
  <c r="N101" i="4"/>
  <c r="M101" i="2"/>
  <c r="V101" i="6"/>
  <c r="G106" i="4" l="1"/>
  <c r="I101" i="4"/>
  <c r="L101" i="6" s="1"/>
  <c r="AF101" i="6"/>
  <c r="AA101" i="6"/>
  <c r="N101" i="3"/>
  <c r="E101" i="6"/>
  <c r="H102" i="5"/>
  <c r="K102" i="5" s="1"/>
  <c r="U102" i="6" s="1"/>
  <c r="N101" i="2"/>
  <c r="Z101" i="6"/>
  <c r="G101" i="2" l="1"/>
  <c r="I101" i="2"/>
  <c r="G101" i="3"/>
  <c r="I101" i="3"/>
  <c r="AE101" i="6"/>
  <c r="K101" i="6"/>
  <c r="L102" i="5"/>
  <c r="I102" i="6"/>
  <c r="H102" i="4"/>
  <c r="K102" i="4" s="1"/>
  <c r="T102" i="6" s="1"/>
  <c r="AD101" i="6"/>
  <c r="J101" i="6"/>
  <c r="H102" i="6" l="1"/>
  <c r="C101" i="6"/>
  <c r="H102" i="3"/>
  <c r="K102" i="3" s="1"/>
  <c r="S102" i="6" s="1"/>
  <c r="Y102" i="6"/>
  <c r="M102" i="5"/>
  <c r="L102" i="4"/>
  <c r="X102" i="6" s="1"/>
  <c r="B101" i="6"/>
  <c r="H102" i="2"/>
  <c r="K102" i="2" s="1"/>
  <c r="R102" i="6" s="1"/>
  <c r="G102" i="6" l="1"/>
  <c r="L102" i="3"/>
  <c r="AC102" i="6"/>
  <c r="N102" i="5"/>
  <c r="M102" i="4"/>
  <c r="AB102" i="6" s="1"/>
  <c r="F102" i="6"/>
  <c r="L102" i="2"/>
  <c r="G102" i="5" l="1"/>
  <c r="I102" i="5"/>
  <c r="W102" i="6"/>
  <c r="M102" i="3"/>
  <c r="AG102" i="6"/>
  <c r="M102" i="6"/>
  <c r="N102" i="4"/>
  <c r="M102" i="2"/>
  <c r="V102" i="6"/>
  <c r="G107" i="4" l="1"/>
  <c r="I102" i="4"/>
  <c r="L102" i="6" s="1"/>
  <c r="AF102" i="6"/>
  <c r="D102" i="6"/>
  <c r="AA102" i="6"/>
  <c r="N102" i="3"/>
  <c r="H103" i="5"/>
  <c r="K103" i="5" s="1"/>
  <c r="U103" i="6" s="1"/>
  <c r="E102" i="6"/>
  <c r="D106" i="6"/>
  <c r="N102" i="2"/>
  <c r="Z102" i="6"/>
  <c r="G102" i="2" l="1"/>
  <c r="I102" i="2"/>
  <c r="G102" i="3"/>
  <c r="I102" i="3"/>
  <c r="AE102" i="6"/>
  <c r="K102" i="6"/>
  <c r="I103" i="6"/>
  <c r="L103" i="5"/>
  <c r="H103" i="4"/>
  <c r="K103" i="4" s="1"/>
  <c r="T103" i="6" s="1"/>
  <c r="AD102" i="6"/>
  <c r="J102" i="6"/>
  <c r="H103" i="6" l="1"/>
  <c r="C102" i="6"/>
  <c r="H103" i="3"/>
  <c r="K103" i="3" s="1"/>
  <c r="S103" i="6" s="1"/>
  <c r="Y103" i="6"/>
  <c r="M103" i="5"/>
  <c r="L103" i="4"/>
  <c r="X103" i="6" s="1"/>
  <c r="B102" i="6"/>
  <c r="H103" i="2"/>
  <c r="K103" i="2" s="1"/>
  <c r="R103" i="6" s="1"/>
  <c r="G103" i="6" l="1"/>
  <c r="L103" i="3"/>
  <c r="N103" i="5"/>
  <c r="AC103" i="6"/>
  <c r="M103" i="4"/>
  <c r="AB103" i="6" s="1"/>
  <c r="F103" i="6"/>
  <c r="L103" i="2"/>
  <c r="G103" i="5" l="1"/>
  <c r="I103" i="5"/>
  <c r="W103" i="6"/>
  <c r="M103" i="3"/>
  <c r="AG103" i="6"/>
  <c r="M103" i="6"/>
  <c r="N103" i="4"/>
  <c r="M103" i="2"/>
  <c r="V103" i="6"/>
  <c r="G108" i="4" l="1"/>
  <c r="I103" i="4"/>
  <c r="L103" i="6" s="1"/>
  <c r="AF103" i="6"/>
  <c r="AA103" i="6"/>
  <c r="N103" i="3"/>
  <c r="H104" i="5"/>
  <c r="K104" i="5" s="1"/>
  <c r="U104" i="6" s="1"/>
  <c r="E103" i="6"/>
  <c r="D107" i="6"/>
  <c r="N103" i="2"/>
  <c r="Z103" i="6"/>
  <c r="G103" i="2" l="1"/>
  <c r="I103" i="2"/>
  <c r="G103" i="3"/>
  <c r="I103" i="3"/>
  <c r="AE103" i="6"/>
  <c r="K103" i="6"/>
  <c r="I104" i="6"/>
  <c r="L104" i="5"/>
  <c r="H104" i="4"/>
  <c r="K104" i="4" s="1"/>
  <c r="T104" i="6" s="1"/>
  <c r="AD103" i="6"/>
  <c r="J103" i="6"/>
  <c r="H104" i="6" l="1"/>
  <c r="C103" i="6"/>
  <c r="H104" i="3"/>
  <c r="K104" i="3" s="1"/>
  <c r="S104" i="6" s="1"/>
  <c r="M104" i="5"/>
  <c r="Y104" i="6"/>
  <c r="L104" i="4"/>
  <c r="X104" i="6" s="1"/>
  <c r="B103" i="6"/>
  <c r="H104" i="2"/>
  <c r="K104" i="2" s="1"/>
  <c r="R104" i="6" s="1"/>
  <c r="G104" i="6" l="1"/>
  <c r="L104" i="3"/>
  <c r="N104" i="5"/>
  <c r="AC104" i="6"/>
  <c r="M104" i="4"/>
  <c r="AB104" i="6" s="1"/>
  <c r="F104" i="6"/>
  <c r="L104" i="2"/>
  <c r="G104" i="5" l="1"/>
  <c r="I104" i="5"/>
  <c r="W104" i="6"/>
  <c r="M104" i="3"/>
  <c r="AG104" i="6"/>
  <c r="M104" i="6"/>
  <c r="N104" i="4"/>
  <c r="M104" i="2"/>
  <c r="V104" i="6"/>
  <c r="G109" i="4" l="1"/>
  <c r="I104" i="4"/>
  <c r="AF104" i="6"/>
  <c r="AA104" i="6"/>
  <c r="N104" i="3"/>
  <c r="H105" i="5"/>
  <c r="K105" i="5" s="1"/>
  <c r="U105" i="6" s="1"/>
  <c r="E104" i="6"/>
  <c r="L104" i="6"/>
  <c r="N104" i="2"/>
  <c r="Z104" i="6"/>
  <c r="G104" i="2" l="1"/>
  <c r="I104" i="2"/>
  <c r="G104" i="3"/>
  <c r="I104" i="3"/>
  <c r="AE104" i="6"/>
  <c r="K104" i="6"/>
  <c r="I105" i="6"/>
  <c r="L105" i="5"/>
  <c r="H105" i="4"/>
  <c r="K105" i="4" s="1"/>
  <c r="T105" i="6" s="1"/>
  <c r="AD104" i="6"/>
  <c r="J104" i="6"/>
  <c r="H105" i="6" l="1"/>
  <c r="C104" i="6"/>
  <c r="H105" i="3"/>
  <c r="K105" i="3" s="1"/>
  <c r="S105" i="6" s="1"/>
  <c r="M105" i="5"/>
  <c r="Y105" i="6"/>
  <c r="L105" i="4"/>
  <c r="X105" i="6" s="1"/>
  <c r="B104" i="6"/>
  <c r="H105" i="2"/>
  <c r="K105" i="2" s="1"/>
  <c r="R105" i="6" s="1"/>
  <c r="G105" i="6" l="1"/>
  <c r="L105" i="3"/>
  <c r="N105" i="5"/>
  <c r="AC105" i="6"/>
  <c r="M105" i="4"/>
  <c r="AB105" i="6" s="1"/>
  <c r="F105" i="6"/>
  <c r="L105" i="2"/>
  <c r="G105" i="5" l="1"/>
  <c r="I105" i="5"/>
  <c r="W105" i="6"/>
  <c r="M105" i="3"/>
  <c r="AG105" i="6"/>
  <c r="M105" i="6"/>
  <c r="N105" i="4"/>
  <c r="M105" i="2"/>
  <c r="V105" i="6"/>
  <c r="G110" i="4" l="1"/>
  <c r="I105" i="4"/>
  <c r="AF105" i="6"/>
  <c r="D105" i="6"/>
  <c r="AA105" i="6"/>
  <c r="N105" i="3"/>
  <c r="H106" i="5"/>
  <c r="K106" i="5" s="1"/>
  <c r="U106" i="6" s="1"/>
  <c r="E105" i="6"/>
  <c r="D109" i="6"/>
  <c r="L105" i="6"/>
  <c r="N105" i="2"/>
  <c r="Z105" i="6"/>
  <c r="G105" i="2" l="1"/>
  <c r="I105" i="2"/>
  <c r="G105" i="3"/>
  <c r="I105" i="3"/>
  <c r="AE105" i="6"/>
  <c r="K105" i="6"/>
  <c r="I106" i="6"/>
  <c r="L106" i="5"/>
  <c r="H106" i="4"/>
  <c r="K106" i="4" s="1"/>
  <c r="T106" i="6" s="1"/>
  <c r="AD105" i="6"/>
  <c r="J105" i="6"/>
  <c r="H106" i="6" l="1"/>
  <c r="C105" i="6"/>
  <c r="H106" i="3"/>
  <c r="K106" i="3" s="1"/>
  <c r="S106" i="6" s="1"/>
  <c r="M106" i="5"/>
  <c r="Y106" i="6"/>
  <c r="L106" i="4"/>
  <c r="X106" i="6" s="1"/>
  <c r="B105" i="6"/>
  <c r="H106" i="2"/>
  <c r="K106" i="2" s="1"/>
  <c r="R106" i="6" s="1"/>
  <c r="G106" i="6" l="1"/>
  <c r="L106" i="3"/>
  <c r="AC106" i="6"/>
  <c r="N106" i="5"/>
  <c r="M106" i="4"/>
  <c r="AB106" i="6" s="1"/>
  <c r="F106" i="6"/>
  <c r="L106" i="2"/>
  <c r="G106" i="5" l="1"/>
  <c r="I106" i="5"/>
  <c r="W106" i="6"/>
  <c r="M106" i="3"/>
  <c r="AG106" i="6"/>
  <c r="M106" i="6"/>
  <c r="N106" i="4"/>
  <c r="M106" i="2"/>
  <c r="V106" i="6"/>
  <c r="G111" i="4" l="1"/>
  <c r="I106" i="4"/>
  <c r="L106" i="6" s="1"/>
  <c r="AF106" i="6"/>
  <c r="AA106" i="6"/>
  <c r="N106" i="3"/>
  <c r="H107" i="5"/>
  <c r="K107" i="5" s="1"/>
  <c r="U107" i="6" s="1"/>
  <c r="E106" i="6"/>
  <c r="D110" i="6"/>
  <c r="N106" i="2"/>
  <c r="Z106" i="6"/>
  <c r="G106" i="2" l="1"/>
  <c r="I106" i="2"/>
  <c r="G106" i="3"/>
  <c r="I106" i="3"/>
  <c r="AE106" i="6"/>
  <c r="K106" i="6"/>
  <c r="I107" i="6"/>
  <c r="L107" i="5"/>
  <c r="H107" i="4"/>
  <c r="K107" i="4" s="1"/>
  <c r="T107" i="6" s="1"/>
  <c r="AD106" i="6"/>
  <c r="J106" i="6"/>
  <c r="H107" i="6" l="1"/>
  <c r="C106" i="6"/>
  <c r="H107" i="3"/>
  <c r="K107" i="3" s="1"/>
  <c r="S107" i="6" s="1"/>
  <c r="Y107" i="6"/>
  <c r="M107" i="5"/>
  <c r="L107" i="4"/>
  <c r="X107" i="6" s="1"/>
  <c r="B106" i="6"/>
  <c r="H107" i="2"/>
  <c r="K107" i="2" s="1"/>
  <c r="R107" i="6" s="1"/>
  <c r="G107" i="6" l="1"/>
  <c r="L107" i="3"/>
  <c r="N107" i="5"/>
  <c r="AC107" i="6"/>
  <c r="M107" i="4"/>
  <c r="AB107" i="6" s="1"/>
  <c r="F107" i="6"/>
  <c r="L107" i="2"/>
  <c r="G107" i="5" l="1"/>
  <c r="I107" i="5"/>
  <c r="W107" i="6"/>
  <c r="M107" i="3"/>
  <c r="AG107" i="6"/>
  <c r="M107" i="6"/>
  <c r="N107" i="4"/>
  <c r="M107" i="2"/>
  <c r="V107" i="6"/>
  <c r="G112" i="4" l="1"/>
  <c r="I107" i="4"/>
  <c r="AF107" i="6"/>
  <c r="AA107" i="6"/>
  <c r="N107" i="3"/>
  <c r="H108" i="5"/>
  <c r="K108" i="5" s="1"/>
  <c r="U108" i="6" s="1"/>
  <c r="E107" i="6"/>
  <c r="L107" i="6"/>
  <c r="N107" i="2"/>
  <c r="Z107" i="6"/>
  <c r="G107" i="2" l="1"/>
  <c r="I107" i="2"/>
  <c r="G107" i="3"/>
  <c r="I107" i="3"/>
  <c r="AE107" i="6"/>
  <c r="K107" i="6"/>
  <c r="I108" i="6"/>
  <c r="L108" i="5"/>
  <c r="H108" i="4"/>
  <c r="K108" i="4" s="1"/>
  <c r="T108" i="6" s="1"/>
  <c r="AD107" i="6"/>
  <c r="J107" i="6"/>
  <c r="H108" i="6" l="1"/>
  <c r="C107" i="6"/>
  <c r="H108" i="3"/>
  <c r="K108" i="3" s="1"/>
  <c r="S108" i="6" s="1"/>
  <c r="Y108" i="6"/>
  <c r="M108" i="5"/>
  <c r="L108" i="4"/>
  <c r="X108" i="6" s="1"/>
  <c r="B107" i="6"/>
  <c r="H108" i="2"/>
  <c r="K108" i="2" s="1"/>
  <c r="R108" i="6" s="1"/>
  <c r="G108" i="6" l="1"/>
  <c r="L108" i="3"/>
  <c r="AC108" i="6"/>
  <c r="N108" i="5"/>
  <c r="M108" i="4"/>
  <c r="AB108" i="6" s="1"/>
  <c r="F108" i="6"/>
  <c r="L108" i="2"/>
  <c r="G108" i="5" l="1"/>
  <c r="I108" i="5"/>
  <c r="W108" i="6"/>
  <c r="M108" i="3"/>
  <c r="AG108" i="6"/>
  <c r="M108" i="6"/>
  <c r="N108" i="4"/>
  <c r="M108" i="2"/>
  <c r="V108" i="6"/>
  <c r="G113" i="4" l="1"/>
  <c r="I108" i="4"/>
  <c r="L108" i="6" s="1"/>
  <c r="AF108" i="6"/>
  <c r="D108" i="6"/>
  <c r="AA108" i="6"/>
  <c r="N108" i="3"/>
  <c r="E108" i="6"/>
  <c r="H109" i="5"/>
  <c r="K109" i="5" s="1"/>
  <c r="U109" i="6" s="1"/>
  <c r="D112" i="6"/>
  <c r="N108" i="2"/>
  <c r="Z108" i="6"/>
  <c r="G108" i="2" l="1"/>
  <c r="I108" i="2"/>
  <c r="G108" i="3"/>
  <c r="I108" i="3"/>
  <c r="AE108" i="6"/>
  <c r="K108" i="6"/>
  <c r="I109" i="6"/>
  <c r="L109" i="5"/>
  <c r="H109" i="4"/>
  <c r="K109" i="4" s="1"/>
  <c r="T109" i="6" s="1"/>
  <c r="AD108" i="6"/>
  <c r="J108" i="6"/>
  <c r="H109" i="6" l="1"/>
  <c r="C108" i="6"/>
  <c r="H109" i="3"/>
  <c r="K109" i="3" s="1"/>
  <c r="S109" i="6" s="1"/>
  <c r="M109" i="5"/>
  <c r="Y109" i="6"/>
  <c r="L109" i="4"/>
  <c r="X109" i="6" s="1"/>
  <c r="B108" i="6"/>
  <c r="H109" i="2"/>
  <c r="K109" i="2" s="1"/>
  <c r="R109" i="6" s="1"/>
  <c r="G109" i="6" l="1"/>
  <c r="L109" i="3"/>
  <c r="AC109" i="6"/>
  <c r="N109" i="5"/>
  <c r="M109" i="4"/>
  <c r="AB109" i="6" s="1"/>
  <c r="F109" i="6"/>
  <c r="L109" i="2"/>
  <c r="G109" i="5" l="1"/>
  <c r="I109" i="5"/>
  <c r="W109" i="6"/>
  <c r="M109" i="3"/>
  <c r="AG109" i="6"/>
  <c r="M109" i="6"/>
  <c r="N109" i="4"/>
  <c r="M109" i="2"/>
  <c r="V109" i="6"/>
  <c r="G114" i="4" l="1"/>
  <c r="I109" i="4"/>
  <c r="L109" i="6" s="1"/>
  <c r="AF109" i="6"/>
  <c r="D113" i="6"/>
  <c r="AA109" i="6"/>
  <c r="N109" i="3"/>
  <c r="E109" i="6"/>
  <c r="H110" i="5"/>
  <c r="K110" i="5" s="1"/>
  <c r="U110" i="6" s="1"/>
  <c r="N109" i="2"/>
  <c r="Z109" i="6"/>
  <c r="G109" i="2" l="1"/>
  <c r="I109" i="2"/>
  <c r="G109" i="3"/>
  <c r="I109" i="3"/>
  <c r="AE109" i="6"/>
  <c r="K109" i="6"/>
  <c r="I110" i="6"/>
  <c r="L110" i="5"/>
  <c r="H110" i="4"/>
  <c r="K110" i="4" s="1"/>
  <c r="T110" i="6" s="1"/>
  <c r="AD109" i="6"/>
  <c r="J109" i="6"/>
  <c r="H110" i="6" l="1"/>
  <c r="C109" i="6"/>
  <c r="H110" i="3"/>
  <c r="K110" i="3" s="1"/>
  <c r="S110" i="6" s="1"/>
  <c r="M110" i="5"/>
  <c r="Y110" i="6"/>
  <c r="L110" i="4"/>
  <c r="X110" i="6" s="1"/>
  <c r="B109" i="6"/>
  <c r="H110" i="2"/>
  <c r="K110" i="2" s="1"/>
  <c r="R110" i="6" s="1"/>
  <c r="G110" i="6" l="1"/>
  <c r="L110" i="3"/>
  <c r="AC110" i="6"/>
  <c r="N110" i="5"/>
  <c r="M110" i="4"/>
  <c r="AB110" i="6" s="1"/>
  <c r="F110" i="6"/>
  <c r="L110" i="2"/>
  <c r="G110" i="5" l="1"/>
  <c r="I110" i="5"/>
  <c r="W110" i="6"/>
  <c r="M110" i="3"/>
  <c r="AG110" i="6"/>
  <c r="M110" i="6"/>
  <c r="N110" i="4"/>
  <c r="M110" i="2"/>
  <c r="V110" i="6"/>
  <c r="G115" i="4" l="1"/>
  <c r="I110" i="4"/>
  <c r="AF110" i="6"/>
  <c r="AA110" i="6"/>
  <c r="N110" i="3"/>
  <c r="E110" i="6"/>
  <c r="H111" i="5"/>
  <c r="K111" i="5" s="1"/>
  <c r="U111" i="6" s="1"/>
  <c r="L110" i="6"/>
  <c r="N110" i="2"/>
  <c r="Z110" i="6"/>
  <c r="G110" i="2" l="1"/>
  <c r="I110" i="2"/>
  <c r="G110" i="3"/>
  <c r="I110" i="3"/>
  <c r="AE110" i="6"/>
  <c r="K110" i="6"/>
  <c r="L111" i="5"/>
  <c r="I111" i="6"/>
  <c r="H111" i="4"/>
  <c r="K111" i="4" s="1"/>
  <c r="T111" i="6" s="1"/>
  <c r="AD110" i="6"/>
  <c r="J110" i="6"/>
  <c r="H111" i="6" l="1"/>
  <c r="C110" i="6"/>
  <c r="H111" i="3"/>
  <c r="K111" i="3" s="1"/>
  <c r="S111" i="6" s="1"/>
  <c r="Y111" i="6"/>
  <c r="M111" i="5"/>
  <c r="L111" i="4"/>
  <c r="X111" i="6" s="1"/>
  <c r="B110" i="6"/>
  <c r="H111" i="2"/>
  <c r="K111" i="2" s="1"/>
  <c r="R111" i="6" s="1"/>
  <c r="G111" i="6" l="1"/>
  <c r="L111" i="3"/>
  <c r="N111" i="5"/>
  <c r="AC111" i="6"/>
  <c r="M111" i="4"/>
  <c r="AB111" i="6" s="1"/>
  <c r="F111" i="6"/>
  <c r="L111" i="2"/>
  <c r="G111" i="5" l="1"/>
  <c r="I111" i="5"/>
  <c r="W111" i="6"/>
  <c r="M111" i="3"/>
  <c r="AG111" i="6"/>
  <c r="M111" i="6"/>
  <c r="N111" i="4"/>
  <c r="M111" i="2"/>
  <c r="V111" i="6"/>
  <c r="G116" i="4" l="1"/>
  <c r="I111" i="4"/>
  <c r="L111" i="6" s="1"/>
  <c r="AF111" i="6"/>
  <c r="D111" i="6"/>
  <c r="AA111" i="6"/>
  <c r="N111" i="3"/>
  <c r="E111" i="6"/>
  <c r="H112" i="5"/>
  <c r="K112" i="5" s="1"/>
  <c r="U112" i="6" s="1"/>
  <c r="D115" i="6"/>
  <c r="N111" i="2"/>
  <c r="Z111" i="6"/>
  <c r="G111" i="2" l="1"/>
  <c r="I111" i="2"/>
  <c r="G111" i="3"/>
  <c r="I111" i="3"/>
  <c r="AE111" i="6"/>
  <c r="K111" i="6"/>
  <c r="I112" i="6"/>
  <c r="L112" i="5"/>
  <c r="H112" i="4"/>
  <c r="K112" i="4" s="1"/>
  <c r="T112" i="6" s="1"/>
  <c r="AD111" i="6"/>
  <c r="J111" i="6"/>
  <c r="H112" i="6" l="1"/>
  <c r="C111" i="6"/>
  <c r="H112" i="3"/>
  <c r="K112" i="3" s="1"/>
  <c r="S112" i="6" s="1"/>
  <c r="Y112" i="6"/>
  <c r="M112" i="5"/>
  <c r="L112" i="4"/>
  <c r="X112" i="6" s="1"/>
  <c r="B111" i="6"/>
  <c r="H112" i="2"/>
  <c r="K112" i="2" s="1"/>
  <c r="R112" i="6" s="1"/>
  <c r="G112" i="6" l="1"/>
  <c r="L112" i="3"/>
  <c r="AC112" i="6"/>
  <c r="N112" i="5"/>
  <c r="M112" i="4"/>
  <c r="AB112" i="6" s="1"/>
  <c r="F112" i="6"/>
  <c r="L112" i="2"/>
  <c r="G112" i="5" l="1"/>
  <c r="I112" i="5"/>
  <c r="W112" i="6"/>
  <c r="M112" i="3"/>
  <c r="AG112" i="6"/>
  <c r="M112" i="6"/>
  <c r="N112" i="4"/>
  <c r="M112" i="2"/>
  <c r="V112" i="6"/>
  <c r="G117" i="4" l="1"/>
  <c r="I112" i="4"/>
  <c r="L112" i="6" s="1"/>
  <c r="AF112" i="6"/>
  <c r="AA112" i="6"/>
  <c r="N112" i="3"/>
  <c r="E112" i="6"/>
  <c r="H113" i="5"/>
  <c r="K113" i="5" s="1"/>
  <c r="U113" i="6" s="1"/>
  <c r="D116" i="6"/>
  <c r="N112" i="2"/>
  <c r="Z112" i="6"/>
  <c r="G112" i="2" l="1"/>
  <c r="I112" i="2"/>
  <c r="G112" i="3"/>
  <c r="I112" i="3"/>
  <c r="AE112" i="6"/>
  <c r="K112" i="6"/>
  <c r="L113" i="5"/>
  <c r="I113" i="6"/>
  <c r="H113" i="4"/>
  <c r="K113" i="4" s="1"/>
  <c r="T113" i="6" s="1"/>
  <c r="AD112" i="6"/>
  <c r="J112" i="6"/>
  <c r="H113" i="6" l="1"/>
  <c r="C112" i="6"/>
  <c r="H113" i="3"/>
  <c r="K113" i="3" s="1"/>
  <c r="S113" i="6" s="1"/>
  <c r="M113" i="5"/>
  <c r="Y113" i="6"/>
  <c r="L113" i="4"/>
  <c r="X113" i="6" s="1"/>
  <c r="B112" i="6"/>
  <c r="H113" i="2"/>
  <c r="K113" i="2" s="1"/>
  <c r="R113" i="6" s="1"/>
  <c r="G113" i="6" l="1"/>
  <c r="L113" i="3"/>
  <c r="N113" i="5"/>
  <c r="AC113" i="6"/>
  <c r="M113" i="4"/>
  <c r="AB113" i="6" s="1"/>
  <c r="F113" i="6"/>
  <c r="L113" i="2"/>
  <c r="G113" i="5" l="1"/>
  <c r="I113" i="5"/>
  <c r="W113" i="6"/>
  <c r="M113" i="3"/>
  <c r="AG113" i="6"/>
  <c r="M113" i="6"/>
  <c r="N113" i="4"/>
  <c r="M113" i="2"/>
  <c r="V113" i="6"/>
  <c r="G118" i="4" l="1"/>
  <c r="I113" i="4"/>
  <c r="L113" i="6" s="1"/>
  <c r="AF113" i="6"/>
  <c r="AA113" i="6"/>
  <c r="N113" i="3"/>
  <c r="H114" i="5"/>
  <c r="K114" i="5" s="1"/>
  <c r="U114" i="6" s="1"/>
  <c r="E113" i="6"/>
  <c r="N113" i="2"/>
  <c r="Z113" i="6"/>
  <c r="G113" i="2" l="1"/>
  <c r="I113" i="2"/>
  <c r="G113" i="3"/>
  <c r="I113" i="3"/>
  <c r="AE113" i="6"/>
  <c r="K113" i="6"/>
  <c r="I114" i="6"/>
  <c r="L114" i="5"/>
  <c r="H114" i="4"/>
  <c r="K114" i="4" s="1"/>
  <c r="T114" i="6" s="1"/>
  <c r="AD113" i="6"/>
  <c r="J113" i="6"/>
  <c r="H114" i="6" l="1"/>
  <c r="C113" i="6"/>
  <c r="H114" i="3"/>
  <c r="K114" i="3" s="1"/>
  <c r="S114" i="6" s="1"/>
  <c r="M114" i="5"/>
  <c r="Y114" i="6"/>
  <c r="L114" i="4"/>
  <c r="X114" i="6" s="1"/>
  <c r="B113" i="6"/>
  <c r="H114" i="2"/>
  <c r="K114" i="2" s="1"/>
  <c r="R114" i="6" s="1"/>
  <c r="G114" i="6" l="1"/>
  <c r="L114" i="3"/>
  <c r="AC114" i="6"/>
  <c r="N114" i="5"/>
  <c r="M114" i="4"/>
  <c r="AB114" i="6" s="1"/>
  <c r="F114" i="6"/>
  <c r="L114" i="2"/>
  <c r="G114" i="5" l="1"/>
  <c r="I114" i="5"/>
  <c r="W114" i="6"/>
  <c r="M114" i="3"/>
  <c r="AG114" i="6"/>
  <c r="M114" i="6"/>
  <c r="N114" i="4"/>
  <c r="M114" i="2"/>
  <c r="V114" i="6"/>
  <c r="G119" i="4" l="1"/>
  <c r="I114" i="4"/>
  <c r="L114" i="6" s="1"/>
  <c r="AF114" i="6"/>
  <c r="D114" i="6"/>
  <c r="AA114" i="6"/>
  <c r="N114" i="3"/>
  <c r="H115" i="5"/>
  <c r="K115" i="5" s="1"/>
  <c r="U115" i="6" s="1"/>
  <c r="E114" i="6"/>
  <c r="D118" i="6"/>
  <c r="N114" i="2"/>
  <c r="Z114" i="6"/>
  <c r="G114" i="2" l="1"/>
  <c r="I114" i="2"/>
  <c r="G114" i="3"/>
  <c r="I114" i="3"/>
  <c r="AE114" i="6"/>
  <c r="K114" i="6"/>
  <c r="L115" i="5"/>
  <c r="I115" i="6"/>
  <c r="H115" i="4"/>
  <c r="K115" i="4" s="1"/>
  <c r="T115" i="6" s="1"/>
  <c r="J114" i="6"/>
  <c r="AD114" i="6"/>
  <c r="H115" i="6" l="1"/>
  <c r="C114" i="6"/>
  <c r="H115" i="3"/>
  <c r="K115" i="3" s="1"/>
  <c r="S115" i="6" s="1"/>
  <c r="Y115" i="6"/>
  <c r="M115" i="5"/>
  <c r="L115" i="4"/>
  <c r="X115" i="6" s="1"/>
  <c r="B114" i="6"/>
  <c r="H115" i="2"/>
  <c r="K115" i="2" s="1"/>
  <c r="R115" i="6" s="1"/>
  <c r="G115" i="6" l="1"/>
  <c r="L115" i="3"/>
  <c r="AC115" i="6"/>
  <c r="N115" i="5"/>
  <c r="M115" i="4"/>
  <c r="AB115" i="6" s="1"/>
  <c r="L115" i="2"/>
  <c r="F115" i="6"/>
  <c r="G115" i="5" l="1"/>
  <c r="I115" i="5"/>
  <c r="W115" i="6"/>
  <c r="M115" i="3"/>
  <c r="AG115" i="6"/>
  <c r="M115" i="6"/>
  <c r="N115" i="4"/>
  <c r="M115" i="2"/>
  <c r="V115" i="6"/>
  <c r="G120" i="4" l="1"/>
  <c r="I115" i="4"/>
  <c r="AF115" i="6"/>
  <c r="AA115" i="6"/>
  <c r="N115" i="3"/>
  <c r="H116" i="5"/>
  <c r="K116" i="5" s="1"/>
  <c r="U116" i="6" s="1"/>
  <c r="E115" i="6"/>
  <c r="L115" i="6"/>
  <c r="N115" i="2"/>
  <c r="Z115" i="6"/>
  <c r="G115" i="2" l="1"/>
  <c r="I115" i="2"/>
  <c r="G115" i="3"/>
  <c r="I115" i="3"/>
  <c r="AE115" i="6"/>
  <c r="K115" i="6"/>
  <c r="I116" i="6"/>
  <c r="L116" i="5"/>
  <c r="H116" i="4"/>
  <c r="K116" i="4" s="1"/>
  <c r="T116" i="6" s="1"/>
  <c r="AD115" i="6"/>
  <c r="J115" i="6"/>
  <c r="H116" i="6" l="1"/>
  <c r="C115" i="6"/>
  <c r="H116" i="3"/>
  <c r="K116" i="3" s="1"/>
  <c r="S116" i="6" s="1"/>
  <c r="M116" i="5"/>
  <c r="Y116" i="6"/>
  <c r="L116" i="4"/>
  <c r="X116" i="6" s="1"/>
  <c r="B115" i="6"/>
  <c r="H116" i="2"/>
  <c r="K116" i="2" s="1"/>
  <c r="R116" i="6" s="1"/>
  <c r="G116" i="6" l="1"/>
  <c r="L116" i="3"/>
  <c r="AC116" i="6"/>
  <c r="N116" i="5"/>
  <c r="M116" i="4"/>
  <c r="AB116" i="6" s="1"/>
  <c r="L116" i="2"/>
  <c r="F116" i="6"/>
  <c r="G116" i="5" l="1"/>
  <c r="I116" i="5"/>
  <c r="W116" i="6"/>
  <c r="M116" i="3"/>
  <c r="AG116" i="6"/>
  <c r="M116" i="6"/>
  <c r="N116" i="4"/>
  <c r="M116" i="2"/>
  <c r="V116" i="6"/>
  <c r="G121" i="4" l="1"/>
  <c r="I116" i="4"/>
  <c r="L116" i="6" s="1"/>
  <c r="AF116" i="6"/>
  <c r="AA116" i="6"/>
  <c r="N116" i="3"/>
  <c r="E116" i="6"/>
  <c r="H117" i="5"/>
  <c r="K117" i="5" s="1"/>
  <c r="U117" i="6" s="1"/>
  <c r="N116" i="2"/>
  <c r="Z116" i="6"/>
  <c r="G116" i="2" l="1"/>
  <c r="I116" i="2"/>
  <c r="G116" i="3"/>
  <c r="I116" i="3"/>
  <c r="AE116" i="6"/>
  <c r="K116" i="6"/>
  <c r="L117" i="5"/>
  <c r="I117" i="6"/>
  <c r="H117" i="4"/>
  <c r="K117" i="4" s="1"/>
  <c r="T117" i="6" s="1"/>
  <c r="AD116" i="6"/>
  <c r="H117" i="6" l="1"/>
  <c r="C116" i="6"/>
  <c r="H117" i="3"/>
  <c r="K117" i="3" s="1"/>
  <c r="S117" i="6" s="1"/>
  <c r="Y117" i="6"/>
  <c r="M117" i="5"/>
  <c r="L117" i="4"/>
  <c r="X117" i="6" s="1"/>
  <c r="J116" i="6"/>
  <c r="B116" i="6"/>
  <c r="H117" i="2"/>
  <c r="K117" i="2" s="1"/>
  <c r="R117" i="6" s="1"/>
  <c r="G117" i="6" l="1"/>
  <c r="L117" i="3"/>
  <c r="AC117" i="6"/>
  <c r="N117" i="5"/>
  <c r="M117" i="4"/>
  <c r="AB117" i="6" s="1"/>
  <c r="F117" i="6"/>
  <c r="L117" i="2"/>
  <c r="G117" i="5" l="1"/>
  <c r="I117" i="5"/>
  <c r="W117" i="6"/>
  <c r="M117" i="3"/>
  <c r="AG117" i="6"/>
  <c r="M117" i="6"/>
  <c r="N117" i="4"/>
  <c r="M117" i="2"/>
  <c r="V117" i="6"/>
  <c r="G122" i="4" l="1"/>
  <c r="I117" i="4"/>
  <c r="L117" i="6" s="1"/>
  <c r="AF117" i="6"/>
  <c r="D117" i="6"/>
  <c r="AA117" i="6"/>
  <c r="N117" i="3"/>
  <c r="H118" i="5"/>
  <c r="K118" i="5" s="1"/>
  <c r="U118" i="6" s="1"/>
  <c r="E117" i="6"/>
  <c r="N117" i="2"/>
  <c r="Z117" i="6"/>
  <c r="G117" i="2" l="1"/>
  <c r="I117" i="2"/>
  <c r="G117" i="3"/>
  <c r="I117" i="3"/>
  <c r="K117" i="6" s="1"/>
  <c r="AE117" i="6"/>
  <c r="L118" i="5"/>
  <c r="I118" i="6"/>
  <c r="H118" i="4"/>
  <c r="K118" i="4" s="1"/>
  <c r="T118" i="6" s="1"/>
  <c r="AD117" i="6"/>
  <c r="J117" i="6"/>
  <c r="H118" i="6" l="1"/>
  <c r="C117" i="6"/>
  <c r="H118" i="3"/>
  <c r="K118" i="3" s="1"/>
  <c r="S118" i="6" s="1"/>
  <c r="Y118" i="6"/>
  <c r="M118" i="5"/>
  <c r="L118" i="4"/>
  <c r="X118" i="6" s="1"/>
  <c r="B117" i="6"/>
  <c r="H118" i="2"/>
  <c r="K118" i="2" s="1"/>
  <c r="R118" i="6" s="1"/>
  <c r="G118" i="6" l="1"/>
  <c r="L118" i="3"/>
  <c r="N118" i="5"/>
  <c r="AC118" i="6"/>
  <c r="M118" i="4"/>
  <c r="AB118" i="6" s="1"/>
  <c r="F118" i="6"/>
  <c r="L118" i="2"/>
  <c r="G118" i="5" l="1"/>
  <c r="I118" i="5"/>
  <c r="W118" i="6"/>
  <c r="M118" i="3"/>
  <c r="AG118" i="6"/>
  <c r="M118" i="6"/>
  <c r="N118" i="4"/>
  <c r="M118" i="2"/>
  <c r="V118" i="6"/>
  <c r="G123" i="4" l="1"/>
  <c r="I118" i="4"/>
  <c r="AF118" i="6"/>
  <c r="AA118" i="6"/>
  <c r="N118" i="3"/>
  <c r="H119" i="5"/>
  <c r="K119" i="5" s="1"/>
  <c r="U119" i="6" s="1"/>
  <c r="E118" i="6"/>
  <c r="L118" i="6"/>
  <c r="N118" i="2"/>
  <c r="Z118" i="6"/>
  <c r="G118" i="2" l="1"/>
  <c r="I118" i="2"/>
  <c r="G118" i="3"/>
  <c r="I118" i="3"/>
  <c r="AE118" i="6"/>
  <c r="K118" i="6"/>
  <c r="L119" i="5"/>
  <c r="I119" i="6"/>
  <c r="H119" i="4"/>
  <c r="K119" i="4" s="1"/>
  <c r="T119" i="6" s="1"/>
  <c r="AD118" i="6"/>
  <c r="J118" i="6"/>
  <c r="H119" i="6" l="1"/>
  <c r="C118" i="6"/>
  <c r="H119" i="3"/>
  <c r="K119" i="3" s="1"/>
  <c r="S119" i="6" s="1"/>
  <c r="Y119" i="6"/>
  <c r="M119" i="5"/>
  <c r="L119" i="4"/>
  <c r="X119" i="6" s="1"/>
  <c r="B118" i="6"/>
  <c r="H119" i="2"/>
  <c r="K119" i="2" s="1"/>
  <c r="R119" i="6" s="1"/>
  <c r="G119" i="6" l="1"/>
  <c r="L119" i="3"/>
  <c r="AC119" i="6"/>
  <c r="N119" i="5"/>
  <c r="M119" i="4"/>
  <c r="AB119" i="6" s="1"/>
  <c r="F119" i="6"/>
  <c r="L119" i="2"/>
  <c r="G119" i="5" l="1"/>
  <c r="I119" i="5"/>
  <c r="W119" i="6"/>
  <c r="M119" i="3"/>
  <c r="AG119" i="6"/>
  <c r="M119" i="6"/>
  <c r="N119" i="4"/>
  <c r="M119" i="2"/>
  <c r="V119" i="6"/>
  <c r="G124" i="4" l="1"/>
  <c r="I119" i="4"/>
  <c r="L119" i="6" s="1"/>
  <c r="AF119" i="6"/>
  <c r="D119" i="6"/>
  <c r="AA119" i="6"/>
  <c r="N119" i="3"/>
  <c r="H120" i="5"/>
  <c r="K120" i="5" s="1"/>
  <c r="U120" i="6" s="1"/>
  <c r="E119" i="6"/>
  <c r="N119" i="2"/>
  <c r="Z119" i="6"/>
  <c r="G119" i="2" l="1"/>
  <c r="B119" i="6" s="1"/>
  <c r="I119" i="2"/>
  <c r="G119" i="3"/>
  <c r="I119" i="3"/>
  <c r="AE119" i="6"/>
  <c r="K119" i="6"/>
  <c r="I120" i="6"/>
  <c r="L120" i="5"/>
  <c r="H120" i="4"/>
  <c r="K120" i="4" s="1"/>
  <c r="T120" i="6" s="1"/>
  <c r="AD119" i="6"/>
  <c r="H120" i="6" l="1"/>
  <c r="C119" i="6"/>
  <c r="H120" i="3"/>
  <c r="K120" i="3" s="1"/>
  <c r="S120" i="6" s="1"/>
  <c r="Y120" i="6"/>
  <c r="M120" i="5"/>
  <c r="L120" i="4"/>
  <c r="X120" i="6" s="1"/>
  <c r="H120" i="2"/>
  <c r="K120" i="2" s="1"/>
  <c r="R120" i="6" s="1"/>
  <c r="J119" i="6"/>
  <c r="G120" i="6" l="1"/>
  <c r="L120" i="3"/>
  <c r="N120" i="5"/>
  <c r="AC120" i="6"/>
  <c r="M120" i="4"/>
  <c r="AB120" i="6" s="1"/>
  <c r="L120" i="2"/>
  <c r="F120" i="6"/>
  <c r="G120" i="5" l="1"/>
  <c r="I120" i="5"/>
  <c r="W120" i="6"/>
  <c r="M120" i="3"/>
  <c r="AG120" i="6"/>
  <c r="M120" i="6"/>
  <c r="N120" i="4"/>
  <c r="M120" i="2"/>
  <c r="V120" i="6"/>
  <c r="G125" i="4" l="1"/>
  <c r="I120" i="4"/>
  <c r="L120" i="6" s="1"/>
  <c r="AF120" i="6"/>
  <c r="D120" i="6"/>
  <c r="AA120" i="6"/>
  <c r="N120" i="3"/>
  <c r="H121" i="5"/>
  <c r="K121" i="5" s="1"/>
  <c r="U121" i="6" s="1"/>
  <c r="E120" i="6"/>
  <c r="D124" i="6"/>
  <c r="N120" i="2"/>
  <c r="Z120" i="6"/>
  <c r="G120" i="2" l="1"/>
  <c r="I120" i="2"/>
  <c r="G120" i="3"/>
  <c r="I120" i="3"/>
  <c r="AE120" i="6"/>
  <c r="K120" i="6"/>
  <c r="I121" i="6"/>
  <c r="L121" i="5"/>
  <c r="H121" i="4"/>
  <c r="K121" i="4" s="1"/>
  <c r="T121" i="6" s="1"/>
  <c r="AD120" i="6"/>
  <c r="J120" i="6"/>
  <c r="H121" i="6" l="1"/>
  <c r="C120" i="6"/>
  <c r="H121" i="3"/>
  <c r="K121" i="3" s="1"/>
  <c r="S121" i="6" s="1"/>
  <c r="M121" i="5"/>
  <c r="Y121" i="6"/>
  <c r="L121" i="4"/>
  <c r="X121" i="6" s="1"/>
  <c r="B120" i="6"/>
  <c r="H121" i="2"/>
  <c r="K121" i="2" s="1"/>
  <c r="R121" i="6" s="1"/>
  <c r="G121" i="6" l="1"/>
  <c r="L121" i="3"/>
  <c r="N121" i="5"/>
  <c r="AC121" i="6"/>
  <c r="M121" i="4"/>
  <c r="AB121" i="6" s="1"/>
  <c r="F121" i="6"/>
  <c r="L121" i="2"/>
  <c r="G121" i="5" l="1"/>
  <c r="I121" i="5"/>
  <c r="W121" i="6"/>
  <c r="M121" i="3"/>
  <c r="AG121" i="6"/>
  <c r="M121" i="6"/>
  <c r="N121" i="4"/>
  <c r="M121" i="2"/>
  <c r="V121" i="6"/>
  <c r="G126" i="4" l="1"/>
  <c r="I121" i="4"/>
  <c r="AF121" i="6"/>
  <c r="D121" i="6"/>
  <c r="AA121" i="6"/>
  <c r="N121" i="3"/>
  <c r="H122" i="5"/>
  <c r="K122" i="5" s="1"/>
  <c r="U122" i="6" s="1"/>
  <c r="E121" i="6"/>
  <c r="D125" i="6"/>
  <c r="L121" i="6"/>
  <c r="N121" i="2"/>
  <c r="Z121" i="6"/>
  <c r="G121" i="2" l="1"/>
  <c r="I121" i="2"/>
  <c r="G121" i="3"/>
  <c r="I121" i="3"/>
  <c r="AE121" i="6"/>
  <c r="K121" i="6"/>
  <c r="I122" i="6"/>
  <c r="L122" i="5"/>
  <c r="H122" i="4"/>
  <c r="K122" i="4" s="1"/>
  <c r="T122" i="6" s="1"/>
  <c r="AD121" i="6"/>
  <c r="H122" i="6" l="1"/>
  <c r="C121" i="6"/>
  <c r="H122" i="3"/>
  <c r="K122" i="3" s="1"/>
  <c r="S122" i="6" s="1"/>
  <c r="Y122" i="6"/>
  <c r="M122" i="5"/>
  <c r="L122" i="4"/>
  <c r="X122" i="6" s="1"/>
  <c r="J121" i="6"/>
  <c r="B121" i="6"/>
  <c r="H122" i="2"/>
  <c r="K122" i="2" s="1"/>
  <c r="R122" i="6" s="1"/>
  <c r="G122" i="6" l="1"/>
  <c r="L122" i="3"/>
  <c r="N122" i="5"/>
  <c r="AC122" i="6"/>
  <c r="M122" i="4"/>
  <c r="AB122" i="6" s="1"/>
  <c r="L122" i="2"/>
  <c r="F122" i="6"/>
  <c r="G122" i="5" l="1"/>
  <c r="I122" i="5"/>
  <c r="W122" i="6"/>
  <c r="M122" i="3"/>
  <c r="AG122" i="6"/>
  <c r="M122" i="6"/>
  <c r="N122" i="4"/>
  <c r="M122" i="2"/>
  <c r="V122" i="6"/>
  <c r="G127" i="4" l="1"/>
  <c r="I122" i="4"/>
  <c r="L122" i="6" s="1"/>
  <c r="AF122" i="6"/>
  <c r="D122" i="6"/>
  <c r="AA122" i="6"/>
  <c r="N122" i="3"/>
  <c r="E122" i="6"/>
  <c r="H123" i="5"/>
  <c r="K123" i="5" s="1"/>
  <c r="U123" i="6" s="1"/>
  <c r="N122" i="2"/>
  <c r="Z122" i="6"/>
  <c r="G122" i="2" l="1"/>
  <c r="I122" i="2"/>
  <c r="G122" i="3"/>
  <c r="I122" i="3"/>
  <c r="AE122" i="6"/>
  <c r="K122" i="6"/>
  <c r="L123" i="5"/>
  <c r="I123" i="6"/>
  <c r="H123" i="4"/>
  <c r="K123" i="4" s="1"/>
  <c r="T123" i="6" s="1"/>
  <c r="AD122" i="6"/>
  <c r="J122" i="6"/>
  <c r="H123" i="6" l="1"/>
  <c r="C122" i="6"/>
  <c r="H123" i="3"/>
  <c r="K123" i="3" s="1"/>
  <c r="S123" i="6" s="1"/>
  <c r="Y123" i="6"/>
  <c r="M123" i="5"/>
  <c r="L123" i="4"/>
  <c r="X123" i="6" s="1"/>
  <c r="B122" i="6"/>
  <c r="H123" i="2"/>
  <c r="K123" i="2" s="1"/>
  <c r="R123" i="6" s="1"/>
  <c r="G123" i="6" l="1"/>
  <c r="L123" i="3"/>
  <c r="AC123" i="6"/>
  <c r="N123" i="5"/>
  <c r="M123" i="4"/>
  <c r="AB123" i="6" s="1"/>
  <c r="L123" i="2"/>
  <c r="F123" i="6"/>
  <c r="G123" i="5" l="1"/>
  <c r="I123" i="5"/>
  <c r="W123" i="6"/>
  <c r="M123" i="3"/>
  <c r="AG123" i="6"/>
  <c r="M123" i="6"/>
  <c r="N123" i="4"/>
  <c r="M123" i="2"/>
  <c r="V123" i="6"/>
  <c r="G128" i="4" l="1"/>
  <c r="I123" i="4"/>
  <c r="AF123" i="6"/>
  <c r="D123" i="6"/>
  <c r="AA123" i="6"/>
  <c r="N123" i="3"/>
  <c r="H124" i="5"/>
  <c r="K124" i="5" s="1"/>
  <c r="U124" i="6" s="1"/>
  <c r="E123" i="6"/>
  <c r="D127" i="6"/>
  <c r="L123" i="6"/>
  <c r="N123" i="2"/>
  <c r="Z123" i="6"/>
  <c r="G123" i="2" l="1"/>
  <c r="I123" i="2"/>
  <c r="G123" i="3"/>
  <c r="I123" i="3"/>
  <c r="AE123" i="6"/>
  <c r="K123" i="6"/>
  <c r="I124" i="6"/>
  <c r="L124" i="5"/>
  <c r="H124" i="4"/>
  <c r="K124" i="4" s="1"/>
  <c r="T124" i="6" s="1"/>
  <c r="AD123" i="6"/>
  <c r="J123" i="6"/>
  <c r="H124" i="6" l="1"/>
  <c r="C123" i="6"/>
  <c r="H124" i="3"/>
  <c r="K124" i="3" s="1"/>
  <c r="S124" i="6" s="1"/>
  <c r="Y124" i="6"/>
  <c r="M124" i="5"/>
  <c r="L124" i="4"/>
  <c r="X124" i="6" s="1"/>
  <c r="B123" i="6"/>
  <c r="H124" i="2"/>
  <c r="K124" i="2" s="1"/>
  <c r="R124" i="6" s="1"/>
  <c r="G124" i="6" l="1"/>
  <c r="L124" i="3"/>
  <c r="N124" i="5"/>
  <c r="AC124" i="6"/>
  <c r="M124" i="4"/>
  <c r="AB124" i="6" s="1"/>
  <c r="F124" i="6"/>
  <c r="L124" i="2"/>
  <c r="G124" i="5" l="1"/>
  <c r="I124" i="5"/>
  <c r="M124" i="6" s="1"/>
  <c r="W124" i="6"/>
  <c r="M124" i="3"/>
  <c r="AG124" i="6"/>
  <c r="N124" i="4"/>
  <c r="M124" i="2"/>
  <c r="V124" i="6"/>
  <c r="G129" i="4" l="1"/>
  <c r="I124" i="4"/>
  <c r="L124" i="6" s="1"/>
  <c r="AF124" i="6"/>
  <c r="D128" i="6"/>
  <c r="AA124" i="6"/>
  <c r="N124" i="3"/>
  <c r="H125" i="5"/>
  <c r="K125" i="5" s="1"/>
  <c r="U125" i="6" s="1"/>
  <c r="E124" i="6"/>
  <c r="N124" i="2"/>
  <c r="Z124" i="6"/>
  <c r="G124" i="2" l="1"/>
  <c r="I124" i="2"/>
  <c r="G124" i="3"/>
  <c r="I124" i="3"/>
  <c r="AE124" i="6"/>
  <c r="K124" i="6"/>
  <c r="L125" i="5"/>
  <c r="I125" i="6"/>
  <c r="H125" i="4"/>
  <c r="K125" i="4" s="1"/>
  <c r="T125" i="6" s="1"/>
  <c r="AD124" i="6"/>
  <c r="J124" i="6"/>
  <c r="H125" i="6" l="1"/>
  <c r="C124" i="6"/>
  <c r="H125" i="3"/>
  <c r="K125" i="3" s="1"/>
  <c r="S125" i="6" s="1"/>
  <c r="M125" i="5"/>
  <c r="Y125" i="6"/>
  <c r="L125" i="4"/>
  <c r="X125" i="6" s="1"/>
  <c r="B124" i="6"/>
  <c r="H125" i="2"/>
  <c r="K125" i="2" s="1"/>
  <c r="R125" i="6" s="1"/>
  <c r="G125" i="6" l="1"/>
  <c r="L125" i="3"/>
  <c r="AC125" i="6"/>
  <c r="N125" i="5"/>
  <c r="M125" i="4"/>
  <c r="AB125" i="6" s="1"/>
  <c r="F125" i="6"/>
  <c r="L125" i="2"/>
  <c r="G125" i="5" l="1"/>
  <c r="I125" i="5"/>
  <c r="W125" i="6"/>
  <c r="M125" i="3"/>
  <c r="AG125" i="6"/>
  <c r="M125" i="6"/>
  <c r="N125" i="4"/>
  <c r="M125" i="2"/>
  <c r="V125" i="6"/>
  <c r="G130" i="4" l="1"/>
  <c r="I125" i="4"/>
  <c r="AF125" i="6"/>
  <c r="AA125" i="6"/>
  <c r="N125" i="3"/>
  <c r="H126" i="5"/>
  <c r="K126" i="5" s="1"/>
  <c r="U126" i="6" s="1"/>
  <c r="E125" i="6"/>
  <c r="L125" i="6"/>
  <c r="N125" i="2"/>
  <c r="Z125" i="6"/>
  <c r="G125" i="2" l="1"/>
  <c r="I125" i="2"/>
  <c r="G125" i="3"/>
  <c r="I125" i="3"/>
  <c r="AE125" i="6"/>
  <c r="K125" i="6"/>
  <c r="I126" i="6"/>
  <c r="L126" i="5"/>
  <c r="H126" i="4"/>
  <c r="K126" i="4" s="1"/>
  <c r="T126" i="6" s="1"/>
  <c r="AD125" i="6"/>
  <c r="J125" i="6"/>
  <c r="H126" i="6" l="1"/>
  <c r="C125" i="6"/>
  <c r="H126" i="3"/>
  <c r="K126" i="3" s="1"/>
  <c r="S126" i="6" s="1"/>
  <c r="Y126" i="6"/>
  <c r="M126" i="5"/>
  <c r="L126" i="4"/>
  <c r="X126" i="6" s="1"/>
  <c r="B125" i="6"/>
  <c r="H126" i="2"/>
  <c r="K126" i="2" s="1"/>
  <c r="R126" i="6" s="1"/>
  <c r="G126" i="6" l="1"/>
  <c r="L126" i="3"/>
  <c r="AC126" i="6"/>
  <c r="N126" i="5"/>
  <c r="M126" i="4"/>
  <c r="AB126" i="6" s="1"/>
  <c r="F126" i="6"/>
  <c r="L126" i="2"/>
  <c r="G126" i="5" l="1"/>
  <c r="I126" i="5"/>
  <c r="W126" i="6"/>
  <c r="M126" i="3"/>
  <c r="AG126" i="6"/>
  <c r="M126" i="6"/>
  <c r="N126" i="4"/>
  <c r="M126" i="2"/>
  <c r="V126" i="6"/>
  <c r="G131" i="4" l="1"/>
  <c r="I126" i="4"/>
  <c r="AF126" i="6"/>
  <c r="D126" i="6"/>
  <c r="AA126" i="6"/>
  <c r="N126" i="3"/>
  <c r="E126" i="6"/>
  <c r="H127" i="5"/>
  <c r="K127" i="5" s="1"/>
  <c r="U127" i="6" s="1"/>
  <c r="D130" i="6"/>
  <c r="L126" i="6"/>
  <c r="N126" i="2"/>
  <c r="Z126" i="6"/>
  <c r="G126" i="2" l="1"/>
  <c r="I126" i="2"/>
  <c r="G126" i="3"/>
  <c r="I126" i="3"/>
  <c r="AE126" i="6"/>
  <c r="K126" i="6"/>
  <c r="I127" i="6"/>
  <c r="L127" i="5"/>
  <c r="H127" i="4"/>
  <c r="K127" i="4" s="1"/>
  <c r="T127" i="6" s="1"/>
  <c r="AD126" i="6"/>
  <c r="J126" i="6"/>
  <c r="H127" i="6" l="1"/>
  <c r="C126" i="6"/>
  <c r="H127" i="3"/>
  <c r="K127" i="3" s="1"/>
  <c r="S127" i="6" s="1"/>
  <c r="Y127" i="6"/>
  <c r="M127" i="5"/>
  <c r="L127" i="4"/>
  <c r="X127" i="6" s="1"/>
  <c r="B126" i="6"/>
  <c r="H127" i="2"/>
  <c r="K127" i="2" s="1"/>
  <c r="R127" i="6" s="1"/>
  <c r="G127" i="6" l="1"/>
  <c r="L127" i="3"/>
  <c r="AC127" i="6"/>
  <c r="N127" i="5"/>
  <c r="M127" i="4"/>
  <c r="AB127" i="6" s="1"/>
  <c r="F127" i="6"/>
  <c r="L127" i="2"/>
  <c r="G127" i="5" l="1"/>
  <c r="I127" i="5"/>
  <c r="W127" i="6"/>
  <c r="M127" i="3"/>
  <c r="AG127" i="6"/>
  <c r="M127" i="6"/>
  <c r="N127" i="4"/>
  <c r="M127" i="2"/>
  <c r="V127" i="6"/>
  <c r="G132" i="4" l="1"/>
  <c r="I127" i="4"/>
  <c r="L127" i="6" s="1"/>
  <c r="AF127" i="6"/>
  <c r="AA127" i="6"/>
  <c r="N127" i="3"/>
  <c r="E127" i="6"/>
  <c r="H128" i="5"/>
  <c r="K128" i="5" s="1"/>
  <c r="U128" i="6" s="1"/>
  <c r="D131" i="6"/>
  <c r="N127" i="2"/>
  <c r="Z127" i="6"/>
  <c r="G127" i="2" l="1"/>
  <c r="I127" i="2"/>
  <c r="G127" i="3"/>
  <c r="I127" i="3"/>
  <c r="AE127" i="6"/>
  <c r="K127" i="6"/>
  <c r="I128" i="6"/>
  <c r="L128" i="5"/>
  <c r="H128" i="4"/>
  <c r="K128" i="4" s="1"/>
  <c r="T128" i="6" s="1"/>
  <c r="AD127" i="6"/>
  <c r="J127" i="6"/>
  <c r="H128" i="6" l="1"/>
  <c r="C127" i="6"/>
  <c r="H128" i="3"/>
  <c r="K128" i="3" s="1"/>
  <c r="S128" i="6" s="1"/>
  <c r="Y128" i="6"/>
  <c r="M128" i="5"/>
  <c r="L128" i="4"/>
  <c r="X128" i="6" s="1"/>
  <c r="B127" i="6"/>
  <c r="H128" i="2"/>
  <c r="K128" i="2" s="1"/>
  <c r="R128" i="6" s="1"/>
  <c r="G128" i="6" l="1"/>
  <c r="L128" i="3"/>
  <c r="AC128" i="6"/>
  <c r="N128" i="5"/>
  <c r="M128" i="4"/>
  <c r="AB128" i="6" s="1"/>
  <c r="F128" i="6"/>
  <c r="L128" i="2"/>
  <c r="G128" i="5" l="1"/>
  <c r="I128" i="5"/>
  <c r="W128" i="6"/>
  <c r="M128" i="3"/>
  <c r="AG128" i="6"/>
  <c r="M128" i="6"/>
  <c r="N128" i="4"/>
  <c r="M128" i="2"/>
  <c r="V128" i="6"/>
  <c r="G133" i="4" l="1"/>
  <c r="I128" i="4"/>
  <c r="AF128" i="6"/>
  <c r="AA128" i="6"/>
  <c r="N128" i="3"/>
  <c r="H129" i="5"/>
  <c r="K129" i="5" s="1"/>
  <c r="U129" i="6" s="1"/>
  <c r="E128" i="6"/>
  <c r="L128" i="6"/>
  <c r="N128" i="2"/>
  <c r="Z128" i="6"/>
  <c r="G128" i="2" l="1"/>
  <c r="I128" i="2"/>
  <c r="G128" i="3"/>
  <c r="I128" i="3"/>
  <c r="AE128" i="6"/>
  <c r="K128" i="6"/>
  <c r="L129" i="5"/>
  <c r="I129" i="6"/>
  <c r="H129" i="4"/>
  <c r="K129" i="4" s="1"/>
  <c r="T129" i="6" s="1"/>
  <c r="AD128" i="6"/>
  <c r="H129" i="6" l="1"/>
  <c r="C128" i="6"/>
  <c r="H129" i="3"/>
  <c r="K129" i="3" s="1"/>
  <c r="S129" i="6" s="1"/>
  <c r="Y129" i="6"/>
  <c r="M129" i="5"/>
  <c r="L129" i="4"/>
  <c r="X129" i="6" s="1"/>
  <c r="B128" i="6"/>
  <c r="H129" i="2"/>
  <c r="K129" i="2" s="1"/>
  <c r="R129" i="6"/>
  <c r="J128" i="6"/>
  <c r="G129" i="6" l="1"/>
  <c r="L129" i="3"/>
  <c r="N129" i="5"/>
  <c r="AC129" i="6"/>
  <c r="M129" i="4"/>
  <c r="AB129" i="6" s="1"/>
  <c r="L129" i="2"/>
  <c r="F129" i="6"/>
  <c r="G129" i="5" l="1"/>
  <c r="I129" i="5"/>
  <c r="W129" i="6"/>
  <c r="M129" i="3"/>
  <c r="AG129" i="6"/>
  <c r="M129" i="6"/>
  <c r="N129" i="4"/>
  <c r="M129" i="2"/>
  <c r="V129" i="6"/>
  <c r="G134" i="4" l="1"/>
  <c r="I129" i="4"/>
  <c r="AF129" i="6"/>
  <c r="D129" i="6"/>
  <c r="AA129" i="6"/>
  <c r="N129" i="3"/>
  <c r="H130" i="5"/>
  <c r="K130" i="5" s="1"/>
  <c r="U130" i="6" s="1"/>
  <c r="E129" i="6"/>
  <c r="D133" i="6"/>
  <c r="L129" i="6"/>
  <c r="N129" i="2"/>
  <c r="Z129" i="6"/>
  <c r="G129" i="2" l="1"/>
  <c r="I129" i="2"/>
  <c r="G129" i="3"/>
  <c r="I129" i="3"/>
  <c r="AE129" i="6"/>
  <c r="K129" i="6"/>
  <c r="L130" i="5"/>
  <c r="I130" i="6"/>
  <c r="H130" i="4"/>
  <c r="K130" i="4" s="1"/>
  <c r="T130" i="6" s="1"/>
  <c r="AD129" i="6"/>
  <c r="J129" i="6"/>
  <c r="H130" i="6" l="1"/>
  <c r="C129" i="6"/>
  <c r="H130" i="3"/>
  <c r="K130" i="3" s="1"/>
  <c r="S130" i="6" s="1"/>
  <c r="M130" i="5"/>
  <c r="Y130" i="6"/>
  <c r="L130" i="4"/>
  <c r="X130" i="6" s="1"/>
  <c r="B129" i="6"/>
  <c r="H130" i="2"/>
  <c r="K130" i="2" s="1"/>
  <c r="R130" i="6" s="1"/>
  <c r="G130" i="6" l="1"/>
  <c r="L130" i="3"/>
  <c r="AC130" i="6"/>
  <c r="N130" i="5"/>
  <c r="M130" i="4"/>
  <c r="AB130" i="6" s="1"/>
  <c r="L130" i="2"/>
  <c r="F130" i="6"/>
  <c r="G130" i="5" l="1"/>
  <c r="I130" i="5"/>
  <c r="W130" i="6"/>
  <c r="M130" i="3"/>
  <c r="AG130" i="6"/>
  <c r="M130" i="6"/>
  <c r="N130" i="4"/>
  <c r="M130" i="2"/>
  <c r="V130" i="6"/>
  <c r="G135" i="4" l="1"/>
  <c r="I130" i="4"/>
  <c r="L130" i="6" s="1"/>
  <c r="AF130" i="6"/>
  <c r="AA130" i="6"/>
  <c r="N130" i="3"/>
  <c r="E130" i="6"/>
  <c r="H131" i="5"/>
  <c r="K131" i="5" s="1"/>
  <c r="U131" i="6" s="1"/>
  <c r="D134" i="6"/>
  <c r="N130" i="2"/>
  <c r="Z130" i="6"/>
  <c r="G130" i="2" l="1"/>
  <c r="I130" i="2"/>
  <c r="G130" i="3"/>
  <c r="I130" i="3"/>
  <c r="AE130" i="6"/>
  <c r="K130" i="6"/>
  <c r="I131" i="6"/>
  <c r="L131" i="5"/>
  <c r="H131" i="4"/>
  <c r="K131" i="4" s="1"/>
  <c r="T131" i="6" s="1"/>
  <c r="AD130" i="6"/>
  <c r="J130" i="6"/>
  <c r="H131" i="6" l="1"/>
  <c r="C130" i="6"/>
  <c r="H131" i="3"/>
  <c r="K131" i="3" s="1"/>
  <c r="S131" i="6" s="1"/>
  <c r="Y131" i="6"/>
  <c r="M131" i="5"/>
  <c r="L131" i="4"/>
  <c r="X131" i="6" s="1"/>
  <c r="B130" i="6"/>
  <c r="H131" i="2"/>
  <c r="K131" i="2" s="1"/>
  <c r="R131" i="6" s="1"/>
  <c r="G131" i="6" l="1"/>
  <c r="L131" i="3"/>
  <c r="N131" i="5"/>
  <c r="AC131" i="6"/>
  <c r="M131" i="4"/>
  <c r="AB131" i="6" s="1"/>
  <c r="F131" i="6"/>
  <c r="L131" i="2"/>
  <c r="G131" i="5" l="1"/>
  <c r="I131" i="5"/>
  <c r="W131" i="6"/>
  <c r="M131" i="3"/>
  <c r="AG131" i="6"/>
  <c r="M131" i="6"/>
  <c r="N131" i="4"/>
  <c r="M131" i="2"/>
  <c r="V131" i="6"/>
  <c r="G136" i="4" l="1"/>
  <c r="I131" i="4"/>
  <c r="AF131" i="6"/>
  <c r="AA131" i="6"/>
  <c r="N131" i="3"/>
  <c r="E131" i="6"/>
  <c r="H132" i="5"/>
  <c r="K132" i="5" s="1"/>
  <c r="U132" i="6" s="1"/>
  <c r="L131" i="6"/>
  <c r="N131" i="2"/>
  <c r="Z131" i="6"/>
  <c r="G131" i="2" l="1"/>
  <c r="I131" i="2"/>
  <c r="G131" i="3"/>
  <c r="I131" i="3"/>
  <c r="AE131" i="6"/>
  <c r="K131" i="6"/>
  <c r="L132" i="5"/>
  <c r="I132" i="6"/>
  <c r="H132" i="4"/>
  <c r="K132" i="4" s="1"/>
  <c r="T132" i="6" s="1"/>
  <c r="AD131" i="6"/>
  <c r="J131" i="6"/>
  <c r="H132" i="6" l="1"/>
  <c r="C131" i="6"/>
  <c r="H132" i="3"/>
  <c r="K132" i="3" s="1"/>
  <c r="S132" i="6" s="1"/>
  <c r="M132" i="5"/>
  <c r="Y132" i="6"/>
  <c r="L132" i="4"/>
  <c r="X132" i="6" s="1"/>
  <c r="B131" i="6"/>
  <c r="H132" i="2"/>
  <c r="K132" i="2" s="1"/>
  <c r="R132" i="6" s="1"/>
  <c r="G132" i="6" l="1"/>
  <c r="L132" i="3"/>
  <c r="N132" i="5"/>
  <c r="AC132" i="6"/>
  <c r="M132" i="4"/>
  <c r="AB132" i="6" s="1"/>
  <c r="F132" i="6"/>
  <c r="L132" i="2"/>
  <c r="G132" i="5" l="1"/>
  <c r="I132" i="5"/>
  <c r="W132" i="6"/>
  <c r="M132" i="3"/>
  <c r="AG132" i="6"/>
  <c r="M132" i="6"/>
  <c r="N132" i="4"/>
  <c r="M132" i="2"/>
  <c r="V132" i="6"/>
  <c r="G137" i="4" l="1"/>
  <c r="I132" i="4"/>
  <c r="L132" i="6" s="1"/>
  <c r="AF132" i="6"/>
  <c r="D132" i="6"/>
  <c r="AA132" i="6"/>
  <c r="N132" i="3"/>
  <c r="E132" i="6"/>
  <c r="H133" i="5"/>
  <c r="K133" i="5" s="1"/>
  <c r="U133" i="6" s="1"/>
  <c r="D136" i="6"/>
  <c r="N132" i="2"/>
  <c r="Z132" i="6"/>
  <c r="G132" i="2" l="1"/>
  <c r="I132" i="2"/>
  <c r="G132" i="3"/>
  <c r="I132" i="3"/>
  <c r="AE132" i="6"/>
  <c r="K132" i="6"/>
  <c r="L133" i="5"/>
  <c r="I133" i="6"/>
  <c r="H133" i="4"/>
  <c r="K133" i="4" s="1"/>
  <c r="T133" i="6" s="1"/>
  <c r="AD132" i="6"/>
  <c r="H133" i="6" l="1"/>
  <c r="C132" i="6"/>
  <c r="H133" i="3"/>
  <c r="K133" i="3" s="1"/>
  <c r="S133" i="6" s="1"/>
  <c r="Y133" i="6"/>
  <c r="M133" i="5"/>
  <c r="L133" i="4"/>
  <c r="X133" i="6" s="1"/>
  <c r="R133" i="6"/>
  <c r="J132" i="6"/>
  <c r="B132" i="6"/>
  <c r="H133" i="2"/>
  <c r="K133" i="2" s="1"/>
  <c r="G133" i="6" l="1"/>
  <c r="L133" i="3"/>
  <c r="N133" i="5"/>
  <c r="AC133" i="6"/>
  <c r="M133" i="4"/>
  <c r="AB133" i="6" s="1"/>
  <c r="F133" i="6"/>
  <c r="L133" i="2"/>
  <c r="G133" i="5" l="1"/>
  <c r="I133" i="5"/>
  <c r="W133" i="6"/>
  <c r="M133" i="3"/>
  <c r="AG133" i="6"/>
  <c r="M133" i="6"/>
  <c r="N133" i="4"/>
  <c r="M133" i="2"/>
  <c r="V133" i="6"/>
  <c r="G138" i="4" l="1"/>
  <c r="I133" i="4"/>
  <c r="L133" i="6" s="1"/>
  <c r="AF133" i="6"/>
  <c r="D137" i="6"/>
  <c r="AA133" i="6"/>
  <c r="N133" i="3"/>
  <c r="H134" i="5"/>
  <c r="K134" i="5" s="1"/>
  <c r="U134" i="6" s="1"/>
  <c r="E133" i="6"/>
  <c r="N133" i="2"/>
  <c r="Z133" i="6"/>
  <c r="G133" i="2" l="1"/>
  <c r="I133" i="2"/>
  <c r="G133" i="3"/>
  <c r="I133" i="3"/>
  <c r="AE133" i="6"/>
  <c r="K133" i="6"/>
  <c r="L134" i="5"/>
  <c r="I134" i="6"/>
  <c r="H134" i="4"/>
  <c r="K134" i="4" s="1"/>
  <c r="T134" i="6" s="1"/>
  <c r="J133" i="6"/>
  <c r="AD133" i="6"/>
  <c r="H134" i="6" l="1"/>
  <c r="C133" i="6"/>
  <c r="H134" i="3"/>
  <c r="K134" i="3" s="1"/>
  <c r="S134" i="6" s="1"/>
  <c r="M134" i="5"/>
  <c r="Y134" i="6"/>
  <c r="L134" i="4"/>
  <c r="X134" i="6" s="1"/>
  <c r="H134" i="2"/>
  <c r="K134" i="2" s="1"/>
  <c r="R134" i="6" s="1"/>
  <c r="B133" i="6"/>
  <c r="G134" i="6" l="1"/>
  <c r="L134" i="3"/>
  <c r="N134" i="5"/>
  <c r="AC134" i="6"/>
  <c r="M134" i="4"/>
  <c r="AB134" i="6" s="1"/>
  <c r="L134" i="2"/>
  <c r="F134" i="6"/>
  <c r="G134" i="5" l="1"/>
  <c r="I134" i="5"/>
  <c r="W134" i="6"/>
  <c r="M134" i="3"/>
  <c r="AG134" i="6"/>
  <c r="M134" i="6"/>
  <c r="N134" i="4"/>
  <c r="M134" i="2"/>
  <c r="V134" i="6"/>
  <c r="G139" i="4" l="1"/>
  <c r="I134" i="4"/>
  <c r="L134" i="6" s="1"/>
  <c r="AF134" i="6"/>
  <c r="AA134" i="6"/>
  <c r="N134" i="3"/>
  <c r="H135" i="5"/>
  <c r="K135" i="5" s="1"/>
  <c r="U135" i="6" s="1"/>
  <c r="E134" i="6"/>
  <c r="N134" i="2"/>
  <c r="Z134" i="6"/>
  <c r="G134" i="2" l="1"/>
  <c r="I134" i="2"/>
  <c r="G134" i="3"/>
  <c r="I134" i="3"/>
  <c r="AE134" i="6"/>
  <c r="K134" i="6"/>
  <c r="L135" i="5"/>
  <c r="I135" i="6"/>
  <c r="H135" i="4"/>
  <c r="K135" i="4" s="1"/>
  <c r="T135" i="6" s="1"/>
  <c r="AD134" i="6"/>
  <c r="J134" i="6"/>
  <c r="H135" i="6" l="1"/>
  <c r="C134" i="6"/>
  <c r="H135" i="3"/>
  <c r="K135" i="3" s="1"/>
  <c r="S135" i="6" s="1"/>
  <c r="M135" i="5"/>
  <c r="Y135" i="6"/>
  <c r="L135" i="4"/>
  <c r="X135" i="6" s="1"/>
  <c r="B134" i="6"/>
  <c r="H135" i="2"/>
  <c r="K135" i="2" s="1"/>
  <c r="R135" i="6" s="1"/>
  <c r="G135" i="6" l="1"/>
  <c r="L135" i="3"/>
  <c r="AC135" i="6"/>
  <c r="N135" i="5"/>
  <c r="M135" i="4"/>
  <c r="AB135" i="6" s="1"/>
  <c r="L135" i="2"/>
  <c r="F135" i="6"/>
  <c r="G135" i="5" l="1"/>
  <c r="I135" i="5"/>
  <c r="W135" i="6"/>
  <c r="M135" i="3"/>
  <c r="AG135" i="6"/>
  <c r="M135" i="6"/>
  <c r="N135" i="4"/>
  <c r="M135" i="2"/>
  <c r="V135" i="6"/>
  <c r="G140" i="4" l="1"/>
  <c r="I135" i="4"/>
  <c r="AF135" i="6"/>
  <c r="D135" i="6"/>
  <c r="AA135" i="6"/>
  <c r="N135" i="3"/>
  <c r="H136" i="5"/>
  <c r="K136" i="5" s="1"/>
  <c r="U136" i="6" s="1"/>
  <c r="E135" i="6"/>
  <c r="D139" i="6"/>
  <c r="L135" i="6"/>
  <c r="N135" i="2"/>
  <c r="Z135" i="6"/>
  <c r="G135" i="2" l="1"/>
  <c r="I135" i="2"/>
  <c r="G135" i="3"/>
  <c r="I135" i="3"/>
  <c r="AE135" i="6"/>
  <c r="K135" i="6"/>
  <c r="L136" i="5"/>
  <c r="I136" i="6"/>
  <c r="H136" i="4"/>
  <c r="K136" i="4" s="1"/>
  <c r="T136" i="6" s="1"/>
  <c r="AD135" i="6"/>
  <c r="H136" i="6" l="1"/>
  <c r="C135" i="6"/>
  <c r="H136" i="3"/>
  <c r="K136" i="3" s="1"/>
  <c r="S136" i="6" s="1"/>
  <c r="Y136" i="6"/>
  <c r="M136" i="5"/>
  <c r="L136" i="4"/>
  <c r="X136" i="6" s="1"/>
  <c r="B135" i="6"/>
  <c r="H136" i="2"/>
  <c r="K136" i="2" s="1"/>
  <c r="R136" i="6"/>
  <c r="J135" i="6"/>
  <c r="G136" i="6" l="1"/>
  <c r="L136" i="3"/>
  <c r="AC136" i="6"/>
  <c r="N136" i="5"/>
  <c r="M136" i="4"/>
  <c r="AB136" i="6" s="1"/>
  <c r="F136" i="6"/>
  <c r="L136" i="2"/>
  <c r="G136" i="5" l="1"/>
  <c r="I136" i="5"/>
  <c r="W136" i="6"/>
  <c r="M136" i="3"/>
  <c r="AG136" i="6"/>
  <c r="M136" i="6"/>
  <c r="N136" i="4"/>
  <c r="M136" i="2"/>
  <c r="V136" i="6"/>
  <c r="G141" i="4" l="1"/>
  <c r="I136" i="4"/>
  <c r="L136" i="6" s="1"/>
  <c r="AF136" i="6"/>
  <c r="AA136" i="6"/>
  <c r="N136" i="3"/>
  <c r="E136" i="6"/>
  <c r="H137" i="5"/>
  <c r="K137" i="5" s="1"/>
  <c r="U137" i="6" s="1"/>
  <c r="D140" i="6"/>
  <c r="N136" i="2"/>
  <c r="Z136" i="6"/>
  <c r="G136" i="2" l="1"/>
  <c r="I136" i="2"/>
  <c r="G136" i="3"/>
  <c r="I136" i="3"/>
  <c r="AE136" i="6"/>
  <c r="K136" i="6"/>
  <c r="I137" i="6"/>
  <c r="L137" i="5"/>
  <c r="H137" i="4"/>
  <c r="K137" i="4" s="1"/>
  <c r="T137" i="6" s="1"/>
  <c r="B136" i="6"/>
  <c r="AD136" i="6"/>
  <c r="H137" i="6" l="1"/>
  <c r="C136" i="6"/>
  <c r="H137" i="3"/>
  <c r="K137" i="3" s="1"/>
  <c r="S137" i="6" s="1"/>
  <c r="M137" i="5"/>
  <c r="Y137" i="6"/>
  <c r="L137" i="4"/>
  <c r="X137" i="6" s="1"/>
  <c r="H137" i="2"/>
  <c r="K137" i="2" s="1"/>
  <c r="R137" i="6" s="1"/>
  <c r="J136" i="6"/>
  <c r="G137" i="6" l="1"/>
  <c r="L137" i="3"/>
  <c r="AC137" i="6"/>
  <c r="N137" i="5"/>
  <c r="M137" i="4"/>
  <c r="AB137" i="6" s="1"/>
  <c r="L137" i="2"/>
  <c r="F137" i="6"/>
  <c r="G137" i="5" l="1"/>
  <c r="I137" i="5"/>
  <c r="W137" i="6"/>
  <c r="M137" i="3"/>
  <c r="AG137" i="6"/>
  <c r="M137" i="6"/>
  <c r="N137" i="4"/>
  <c r="M137" i="2"/>
  <c r="V137" i="6"/>
  <c r="G142" i="4" l="1"/>
  <c r="I137" i="4"/>
  <c r="AF137" i="6"/>
  <c r="AA137" i="6"/>
  <c r="N137" i="3"/>
  <c r="E137" i="6"/>
  <c r="H138" i="5"/>
  <c r="K138" i="5" s="1"/>
  <c r="U138" i="6" s="1"/>
  <c r="L137" i="6"/>
  <c r="N137" i="2"/>
  <c r="Z137" i="6"/>
  <c r="G137" i="2" l="1"/>
  <c r="I137" i="2"/>
  <c r="G137" i="3"/>
  <c r="I137" i="3"/>
  <c r="AE137" i="6"/>
  <c r="K137" i="6"/>
  <c r="I138" i="6"/>
  <c r="L138" i="5"/>
  <c r="H138" i="4"/>
  <c r="K138" i="4" s="1"/>
  <c r="T138" i="6" s="1"/>
  <c r="AD137" i="6"/>
  <c r="J137" i="6"/>
  <c r="H138" i="6" l="1"/>
  <c r="C137" i="6"/>
  <c r="H138" i="3"/>
  <c r="K138" i="3" s="1"/>
  <c r="S138" i="6" s="1"/>
  <c r="M138" i="5"/>
  <c r="Y138" i="6"/>
  <c r="L138" i="4"/>
  <c r="X138" i="6" s="1"/>
  <c r="B137" i="6"/>
  <c r="H138" i="2"/>
  <c r="K138" i="2" s="1"/>
  <c r="R138" i="6" s="1"/>
  <c r="G138" i="6" l="1"/>
  <c r="L138" i="3"/>
  <c r="AC138" i="6"/>
  <c r="N138" i="5"/>
  <c r="M138" i="4"/>
  <c r="AB138" i="6" s="1"/>
  <c r="F138" i="6"/>
  <c r="L138" i="2"/>
  <c r="G138" i="5" l="1"/>
  <c r="I138" i="5"/>
  <c r="W138" i="6"/>
  <c r="M138" i="3"/>
  <c r="AG138" i="6"/>
  <c r="M138" i="6"/>
  <c r="N138" i="4"/>
  <c r="M138" i="2"/>
  <c r="V138" i="6"/>
  <c r="G143" i="4" l="1"/>
  <c r="I138" i="4"/>
  <c r="AF138" i="6"/>
  <c r="D138" i="6"/>
  <c r="AA138" i="6"/>
  <c r="N138" i="3"/>
  <c r="H139" i="5"/>
  <c r="K139" i="5" s="1"/>
  <c r="U139" i="6" s="1"/>
  <c r="E138" i="6"/>
  <c r="D142" i="6"/>
  <c r="L138" i="6"/>
  <c r="N138" i="2"/>
  <c r="Z138" i="6"/>
  <c r="G138" i="2" l="1"/>
  <c r="I138" i="2"/>
  <c r="G138" i="3"/>
  <c r="I138" i="3"/>
  <c r="AE138" i="6"/>
  <c r="K138" i="6"/>
  <c r="L139" i="5"/>
  <c r="I139" i="6"/>
  <c r="H139" i="4"/>
  <c r="K139" i="4" s="1"/>
  <c r="T139" i="6" s="1"/>
  <c r="AD138" i="6"/>
  <c r="H139" i="6" l="1"/>
  <c r="C138" i="6"/>
  <c r="H139" i="3"/>
  <c r="K139" i="3" s="1"/>
  <c r="S139" i="6" s="1"/>
  <c r="M139" i="5"/>
  <c r="Y139" i="6"/>
  <c r="L139" i="4"/>
  <c r="X139" i="6" s="1"/>
  <c r="B138" i="6"/>
  <c r="H139" i="2"/>
  <c r="K139" i="2" s="1"/>
  <c r="R139" i="6" s="1"/>
  <c r="J138" i="6"/>
  <c r="G139" i="6" l="1"/>
  <c r="L139" i="3"/>
  <c r="AC139" i="6"/>
  <c r="N139" i="5"/>
  <c r="M139" i="4"/>
  <c r="AB139" i="6" s="1"/>
  <c r="L139" i="2"/>
  <c r="F139" i="6"/>
  <c r="G139" i="5" l="1"/>
  <c r="I139" i="5"/>
  <c r="W139" i="6"/>
  <c r="M139" i="3"/>
  <c r="AG139" i="6"/>
  <c r="M139" i="6"/>
  <c r="N139" i="4"/>
  <c r="M139" i="2"/>
  <c r="V139" i="6"/>
  <c r="G144" i="4" l="1"/>
  <c r="I139" i="4"/>
  <c r="L139" i="6" s="1"/>
  <c r="AF139" i="6"/>
  <c r="AA139" i="6"/>
  <c r="N139" i="3"/>
  <c r="E139" i="6"/>
  <c r="H140" i="5"/>
  <c r="K140" i="5" s="1"/>
  <c r="U140" i="6" s="1"/>
  <c r="D143" i="6"/>
  <c r="N139" i="2"/>
  <c r="Z139" i="6"/>
  <c r="G139" i="2" l="1"/>
  <c r="I139" i="2"/>
  <c r="G139" i="3"/>
  <c r="I139" i="3"/>
  <c r="AE139" i="6"/>
  <c r="K139" i="6"/>
  <c r="I140" i="6"/>
  <c r="L140" i="5"/>
  <c r="H140" i="4"/>
  <c r="K140" i="4" s="1"/>
  <c r="T140" i="6" s="1"/>
  <c r="AD139" i="6"/>
  <c r="J139" i="6"/>
  <c r="H140" i="6" l="1"/>
  <c r="C139" i="6"/>
  <c r="H140" i="3"/>
  <c r="K140" i="3" s="1"/>
  <c r="S140" i="6" s="1"/>
  <c r="M140" i="5"/>
  <c r="Y140" i="6"/>
  <c r="L140" i="4"/>
  <c r="X140" i="6" s="1"/>
  <c r="B139" i="6"/>
  <c r="H140" i="2"/>
  <c r="K140" i="2" s="1"/>
  <c r="R140" i="6" s="1"/>
  <c r="G140" i="6" l="1"/>
  <c r="L140" i="3"/>
  <c r="N140" i="5"/>
  <c r="AC140" i="6"/>
  <c r="M140" i="4"/>
  <c r="AB140" i="6" s="1"/>
  <c r="F140" i="6"/>
  <c r="L140" i="2"/>
  <c r="G140" i="5" l="1"/>
  <c r="I140" i="5"/>
  <c r="W140" i="6"/>
  <c r="M140" i="3"/>
  <c r="AG140" i="6"/>
  <c r="M140" i="6"/>
  <c r="N140" i="4"/>
  <c r="M140" i="2"/>
  <c r="V140" i="6"/>
  <c r="G145" i="4" l="1"/>
  <c r="I140" i="4"/>
  <c r="AF140" i="6"/>
  <c r="AA140" i="6"/>
  <c r="N140" i="3"/>
  <c r="H141" i="5"/>
  <c r="K141" i="5" s="1"/>
  <c r="U141" i="6" s="1"/>
  <c r="E140" i="6"/>
  <c r="L140" i="6"/>
  <c r="N140" i="2"/>
  <c r="Z140" i="6"/>
  <c r="G140" i="2" l="1"/>
  <c r="B140" i="6" s="1"/>
  <c r="I140" i="2"/>
  <c r="G140" i="3"/>
  <c r="I140" i="3"/>
  <c r="AE140" i="6"/>
  <c r="K140" i="6"/>
  <c r="I141" i="6"/>
  <c r="L141" i="5"/>
  <c r="H141" i="4"/>
  <c r="K141" i="4" s="1"/>
  <c r="T141" i="6" s="1"/>
  <c r="AD140" i="6"/>
  <c r="H141" i="6" l="1"/>
  <c r="C140" i="6"/>
  <c r="H141" i="3"/>
  <c r="K141" i="3" s="1"/>
  <c r="S141" i="6" s="1"/>
  <c r="M141" i="5"/>
  <c r="Y141" i="6"/>
  <c r="L141" i="4"/>
  <c r="X141" i="6" s="1"/>
  <c r="H141" i="2"/>
  <c r="K141" i="2" s="1"/>
  <c r="R141" i="6" s="1"/>
  <c r="J140" i="6"/>
  <c r="G141" i="6" l="1"/>
  <c r="L141" i="3"/>
  <c r="AC141" i="6"/>
  <c r="N141" i="5"/>
  <c r="M141" i="4"/>
  <c r="AB141" i="6" s="1"/>
  <c r="F141" i="6"/>
  <c r="L141" i="2"/>
  <c r="G141" i="5" l="1"/>
  <c r="I141" i="5"/>
  <c r="W141" i="6"/>
  <c r="M141" i="3"/>
  <c r="AG141" i="6"/>
  <c r="M141" i="6"/>
  <c r="N141" i="4"/>
  <c r="M141" i="2"/>
  <c r="V141" i="6"/>
  <c r="G146" i="4" l="1"/>
  <c r="I141" i="4"/>
  <c r="AF141" i="6"/>
  <c r="D141" i="6"/>
  <c r="AA141" i="6"/>
  <c r="N141" i="3"/>
  <c r="H142" i="5"/>
  <c r="K142" i="5" s="1"/>
  <c r="U142" i="6" s="1"/>
  <c r="E141" i="6"/>
  <c r="D145" i="6"/>
  <c r="L141" i="6"/>
  <c r="N141" i="2"/>
  <c r="Z141" i="6"/>
  <c r="G141" i="2" l="1"/>
  <c r="I141" i="2"/>
  <c r="G141" i="3"/>
  <c r="I141" i="3"/>
  <c r="AE141" i="6"/>
  <c r="K141" i="6"/>
  <c r="I142" i="6"/>
  <c r="L142" i="5"/>
  <c r="H142" i="4"/>
  <c r="K142" i="4" s="1"/>
  <c r="T142" i="6" s="1"/>
  <c r="AD141" i="6"/>
  <c r="H142" i="6" l="1"/>
  <c r="C141" i="6"/>
  <c r="H142" i="3"/>
  <c r="K142" i="3" s="1"/>
  <c r="S142" i="6" s="1"/>
  <c r="M142" i="5"/>
  <c r="Y142" i="6"/>
  <c r="L142" i="4"/>
  <c r="X142" i="6" s="1"/>
  <c r="J141" i="6"/>
  <c r="B141" i="6"/>
  <c r="H142" i="2"/>
  <c r="K142" i="2" s="1"/>
  <c r="R142" i="6" s="1"/>
  <c r="G142" i="6" l="1"/>
  <c r="L142" i="3"/>
  <c r="N142" i="5"/>
  <c r="AC142" i="6"/>
  <c r="M142" i="4"/>
  <c r="AB142" i="6" s="1"/>
  <c r="L142" i="2"/>
  <c r="F142" i="6"/>
  <c r="G142" i="5" l="1"/>
  <c r="I142" i="5"/>
  <c r="W142" i="6"/>
  <c r="M142" i="3"/>
  <c r="AG142" i="6"/>
  <c r="M142" i="6"/>
  <c r="N142" i="4"/>
  <c r="M142" i="2"/>
  <c r="V142" i="6"/>
  <c r="G147" i="4" l="1"/>
  <c r="I142" i="4"/>
  <c r="L142" i="6" s="1"/>
  <c r="AF142" i="6"/>
  <c r="AA142" i="6"/>
  <c r="N142" i="3"/>
  <c r="H143" i="5"/>
  <c r="K143" i="5" s="1"/>
  <c r="U143" i="6" s="1"/>
  <c r="E142" i="6"/>
  <c r="D146" i="6"/>
  <c r="N142" i="2"/>
  <c r="Z142" i="6"/>
  <c r="G142" i="2" l="1"/>
  <c r="I142" i="2"/>
  <c r="G142" i="3"/>
  <c r="I142" i="3"/>
  <c r="AE142" i="6"/>
  <c r="K142" i="6"/>
  <c r="I143" i="6"/>
  <c r="L143" i="5"/>
  <c r="H143" i="4"/>
  <c r="K143" i="4" s="1"/>
  <c r="T143" i="6" s="1"/>
  <c r="AD142" i="6"/>
  <c r="J142" i="6"/>
  <c r="H143" i="6" l="1"/>
  <c r="C142" i="6"/>
  <c r="H143" i="3"/>
  <c r="K143" i="3" s="1"/>
  <c r="S143" i="6" s="1"/>
  <c r="Y143" i="6"/>
  <c r="M143" i="5"/>
  <c r="L143" i="4"/>
  <c r="X143" i="6" s="1"/>
  <c r="B142" i="6"/>
  <c r="H143" i="2"/>
  <c r="K143" i="2" s="1"/>
  <c r="R143" i="6" s="1"/>
  <c r="G143" i="6" l="1"/>
  <c r="L143" i="3"/>
  <c r="AC143" i="6"/>
  <c r="N143" i="5"/>
  <c r="M143" i="4"/>
  <c r="AB143" i="6" s="1"/>
  <c r="L143" i="2"/>
  <c r="F143" i="6"/>
  <c r="G143" i="5" l="1"/>
  <c r="I143" i="5"/>
  <c r="W143" i="6"/>
  <c r="M143" i="3"/>
  <c r="AG143" i="6"/>
  <c r="M143" i="6"/>
  <c r="N143" i="4"/>
  <c r="M143" i="2"/>
  <c r="V143" i="6"/>
  <c r="G148" i="4" l="1"/>
  <c r="I143" i="4"/>
  <c r="L143" i="6" s="1"/>
  <c r="AF143" i="6"/>
  <c r="AA143" i="6"/>
  <c r="N143" i="3"/>
  <c r="H144" i="5"/>
  <c r="K144" i="5" s="1"/>
  <c r="U144" i="6" s="1"/>
  <c r="E143" i="6"/>
  <c r="N143" i="2"/>
  <c r="Z143" i="6"/>
  <c r="G143" i="2" l="1"/>
  <c r="I143" i="2"/>
  <c r="G143" i="3"/>
  <c r="I143" i="3"/>
  <c r="AE143" i="6"/>
  <c r="K143" i="6"/>
  <c r="I144" i="6"/>
  <c r="L144" i="5"/>
  <c r="H144" i="4"/>
  <c r="K144" i="4" s="1"/>
  <c r="T144" i="6" s="1"/>
  <c r="AD143" i="6"/>
  <c r="J143" i="6"/>
  <c r="H144" i="6" l="1"/>
  <c r="C143" i="6"/>
  <c r="H144" i="3"/>
  <c r="K144" i="3" s="1"/>
  <c r="S144" i="6" s="1"/>
  <c r="M144" i="5"/>
  <c r="Y144" i="6"/>
  <c r="L144" i="4"/>
  <c r="X144" i="6" s="1"/>
  <c r="B143" i="6"/>
  <c r="H144" i="2"/>
  <c r="K144" i="2" s="1"/>
  <c r="R144" i="6" s="1"/>
  <c r="G144" i="6" l="1"/>
  <c r="L144" i="3"/>
  <c r="N144" i="5"/>
  <c r="AC144" i="6"/>
  <c r="M144" i="4"/>
  <c r="AB144" i="6" s="1"/>
  <c r="F144" i="6"/>
  <c r="L144" i="2"/>
  <c r="G144" i="5" l="1"/>
  <c r="I144" i="5"/>
  <c r="W144" i="6"/>
  <c r="M144" i="3"/>
  <c r="AG144" i="6"/>
  <c r="M144" i="6"/>
  <c r="N144" i="4"/>
  <c r="M144" i="2"/>
  <c r="V144" i="6"/>
  <c r="G149" i="4" l="1"/>
  <c r="I144" i="4"/>
  <c r="L144" i="6" s="1"/>
  <c r="AF144" i="6"/>
  <c r="D144" i="6"/>
  <c r="AA144" i="6"/>
  <c r="N144" i="3"/>
  <c r="E144" i="6"/>
  <c r="H145" i="5"/>
  <c r="K145" i="5" s="1"/>
  <c r="U145" i="6" s="1"/>
  <c r="N144" i="2"/>
  <c r="Z144" i="6"/>
  <c r="G144" i="2" l="1"/>
  <c r="I144" i="2"/>
  <c r="G144" i="3"/>
  <c r="I144" i="3"/>
  <c r="AE144" i="6"/>
  <c r="K144" i="6"/>
  <c r="I145" i="6"/>
  <c r="L145" i="5"/>
  <c r="H145" i="4"/>
  <c r="K145" i="4" s="1"/>
  <c r="T145" i="6" s="1"/>
  <c r="AD144" i="6"/>
  <c r="J144" i="6"/>
  <c r="H145" i="6" l="1"/>
  <c r="C144" i="6"/>
  <c r="H145" i="3"/>
  <c r="K145" i="3" s="1"/>
  <c r="S145" i="6" s="1"/>
  <c r="Y145" i="6"/>
  <c r="M145" i="5"/>
  <c r="L145" i="4"/>
  <c r="X145" i="6" s="1"/>
  <c r="B144" i="6"/>
  <c r="H145" i="2"/>
  <c r="K145" i="2" s="1"/>
  <c r="R145" i="6" s="1"/>
  <c r="G145" i="6" l="1"/>
  <c r="L145" i="3"/>
  <c r="N145" i="5"/>
  <c r="AC145" i="6"/>
  <c r="M145" i="4"/>
  <c r="AB145" i="6" s="1"/>
  <c r="F145" i="6"/>
  <c r="L145" i="2"/>
  <c r="G145" i="5" l="1"/>
  <c r="I145" i="5"/>
  <c r="W145" i="6"/>
  <c r="M145" i="3"/>
  <c r="AG145" i="6"/>
  <c r="M145" i="6"/>
  <c r="N145" i="4"/>
  <c r="M145" i="2"/>
  <c r="V145" i="6"/>
  <c r="G150" i="4" l="1"/>
  <c r="I145" i="4"/>
  <c r="AF145" i="6"/>
  <c r="AA145" i="6"/>
  <c r="N145" i="3"/>
  <c r="H146" i="5"/>
  <c r="K146" i="5" s="1"/>
  <c r="U146" i="6" s="1"/>
  <c r="E145" i="6"/>
  <c r="L145" i="6"/>
  <c r="N145" i="2"/>
  <c r="Z145" i="6"/>
  <c r="G145" i="2" l="1"/>
  <c r="I145" i="2"/>
  <c r="G145" i="3"/>
  <c r="I145" i="3"/>
  <c r="AE145" i="6"/>
  <c r="K145" i="6"/>
  <c r="L146" i="5"/>
  <c r="I146" i="6"/>
  <c r="H146" i="4"/>
  <c r="K146" i="4" s="1"/>
  <c r="T146" i="6" s="1"/>
  <c r="AD145" i="6"/>
  <c r="J145" i="6"/>
  <c r="H146" i="6" l="1"/>
  <c r="C145" i="6"/>
  <c r="H146" i="3"/>
  <c r="K146" i="3" s="1"/>
  <c r="S146" i="6" s="1"/>
  <c r="Y146" i="6"/>
  <c r="M146" i="5"/>
  <c r="L146" i="4"/>
  <c r="X146" i="6" s="1"/>
  <c r="B145" i="6"/>
  <c r="H146" i="2"/>
  <c r="K146" i="2" s="1"/>
  <c r="R146" i="6" s="1"/>
  <c r="G146" i="6" l="1"/>
  <c r="L146" i="3"/>
  <c r="AC146" i="6"/>
  <c r="N146" i="5"/>
  <c r="M146" i="4"/>
  <c r="AB146" i="6" s="1"/>
  <c r="F146" i="6"/>
  <c r="L146" i="2"/>
  <c r="G146" i="5" l="1"/>
  <c r="I146" i="5"/>
  <c r="W146" i="6"/>
  <c r="M146" i="3"/>
  <c r="AG146" i="6"/>
  <c r="M146" i="6"/>
  <c r="N146" i="4"/>
  <c r="M146" i="2"/>
  <c r="V146" i="6"/>
  <c r="G151" i="4" l="1"/>
  <c r="I146" i="4"/>
  <c r="AF146" i="6"/>
  <c r="AA146" i="6"/>
  <c r="N146" i="3"/>
  <c r="E146" i="6"/>
  <c r="H147" i="5"/>
  <c r="K147" i="5" s="1"/>
  <c r="U147" i="6" s="1"/>
  <c r="L146" i="6"/>
  <c r="N146" i="2"/>
  <c r="Z146" i="6"/>
  <c r="G146" i="2" l="1"/>
  <c r="I146" i="2"/>
  <c r="G146" i="3"/>
  <c r="I146" i="3"/>
  <c r="AE146" i="6"/>
  <c r="K146" i="6"/>
  <c r="L147" i="5"/>
  <c r="I147" i="6"/>
  <c r="H147" i="4"/>
  <c r="K147" i="4" s="1"/>
  <c r="T147" i="6" s="1"/>
  <c r="AD146" i="6"/>
  <c r="J146" i="6"/>
  <c r="H147" i="6" l="1"/>
  <c r="C146" i="6"/>
  <c r="H147" i="3"/>
  <c r="K147" i="3" s="1"/>
  <c r="S147" i="6" s="1"/>
  <c r="Y147" i="6"/>
  <c r="M147" i="5"/>
  <c r="L147" i="4"/>
  <c r="X147" i="6" s="1"/>
  <c r="B146" i="6"/>
  <c r="H147" i="2"/>
  <c r="K147" i="2" s="1"/>
  <c r="R147" i="6" s="1"/>
  <c r="G147" i="6" l="1"/>
  <c r="L147" i="3"/>
  <c r="AC147" i="6"/>
  <c r="N147" i="5"/>
  <c r="M147" i="4"/>
  <c r="AB147" i="6" s="1"/>
  <c r="F147" i="6"/>
  <c r="L147" i="2"/>
  <c r="G147" i="5" l="1"/>
  <c r="I147" i="5"/>
  <c r="W147" i="6"/>
  <c r="M147" i="3"/>
  <c r="AG147" i="6"/>
  <c r="M147" i="6"/>
  <c r="N147" i="4"/>
  <c r="M147" i="2"/>
  <c r="V147" i="6"/>
  <c r="G152" i="4" l="1"/>
  <c r="I147" i="4"/>
  <c r="L147" i="6" s="1"/>
  <c r="AF147" i="6"/>
  <c r="D147" i="6"/>
  <c r="AA147" i="6"/>
  <c r="N147" i="3"/>
  <c r="H148" i="5"/>
  <c r="K148" i="5" s="1"/>
  <c r="U148" i="6" s="1"/>
  <c r="E147" i="6"/>
  <c r="N147" i="2"/>
  <c r="Z147" i="6"/>
  <c r="G147" i="2" l="1"/>
  <c r="I147" i="2"/>
  <c r="G147" i="3"/>
  <c r="I147" i="3"/>
  <c r="AE147" i="6"/>
  <c r="K147" i="6"/>
  <c r="L148" i="5"/>
  <c r="I148" i="6"/>
  <c r="H148" i="4"/>
  <c r="K148" i="4" s="1"/>
  <c r="T148" i="6" s="1"/>
  <c r="AD147" i="6"/>
  <c r="J147" i="6"/>
  <c r="H148" i="6" l="1"/>
  <c r="C147" i="6"/>
  <c r="H148" i="3"/>
  <c r="K148" i="3" s="1"/>
  <c r="S148" i="6" s="1"/>
  <c r="Y148" i="6"/>
  <c r="M148" i="5"/>
  <c r="L148" i="4"/>
  <c r="X148" i="6" s="1"/>
  <c r="B147" i="6"/>
  <c r="H148" i="2"/>
  <c r="K148" i="2" s="1"/>
  <c r="R148" i="6" s="1"/>
  <c r="G148" i="6" l="1"/>
  <c r="L148" i="3"/>
  <c r="AC148" i="6"/>
  <c r="N148" i="5"/>
  <c r="M148" i="4"/>
  <c r="AB148" i="6" s="1"/>
  <c r="F148" i="6"/>
  <c r="L148" i="2"/>
  <c r="G148" i="5" l="1"/>
  <c r="I148" i="5"/>
  <c r="W148" i="6"/>
  <c r="M148" i="3"/>
  <c r="AG148" i="6"/>
  <c r="M148" i="6"/>
  <c r="N148" i="4"/>
  <c r="M148" i="2"/>
  <c r="V148" i="6"/>
  <c r="G153" i="4" l="1"/>
  <c r="I148" i="4"/>
  <c r="L148" i="6" s="1"/>
  <c r="AF148" i="6"/>
  <c r="D148" i="6"/>
  <c r="AA148" i="6"/>
  <c r="N148" i="3"/>
  <c r="H149" i="5"/>
  <c r="K149" i="5" s="1"/>
  <c r="U149" i="6" s="1"/>
  <c r="E148" i="6"/>
  <c r="N148" i="2"/>
  <c r="Z148" i="6"/>
  <c r="G148" i="2" l="1"/>
  <c r="I148" i="2"/>
  <c r="G148" i="3"/>
  <c r="I148" i="3"/>
  <c r="AE148" i="6"/>
  <c r="K148" i="6"/>
  <c r="L149" i="5"/>
  <c r="I149" i="6"/>
  <c r="H149" i="4"/>
  <c r="K149" i="4" s="1"/>
  <c r="T149" i="6" s="1"/>
  <c r="AD148" i="6"/>
  <c r="J148" i="6"/>
  <c r="H149" i="6" l="1"/>
  <c r="C148" i="6"/>
  <c r="H149" i="3"/>
  <c r="K149" i="3" s="1"/>
  <c r="S149" i="6" s="1"/>
  <c r="M149" i="5"/>
  <c r="Y149" i="6"/>
  <c r="L149" i="4"/>
  <c r="X149" i="6" s="1"/>
  <c r="B148" i="6"/>
  <c r="H149" i="2"/>
  <c r="K149" i="2" s="1"/>
  <c r="R149" i="6" s="1"/>
  <c r="G149" i="6" l="1"/>
  <c r="L149" i="3"/>
  <c r="AC149" i="6"/>
  <c r="N149" i="5"/>
  <c r="M149" i="4"/>
  <c r="AB149" i="6" s="1"/>
  <c r="F149" i="6"/>
  <c r="L149" i="2"/>
  <c r="G149" i="5" l="1"/>
  <c r="I149" i="5"/>
  <c r="W149" i="6"/>
  <c r="M149" i="3"/>
  <c r="AG149" i="6"/>
  <c r="M149" i="6"/>
  <c r="N149" i="4"/>
  <c r="M149" i="2"/>
  <c r="V149" i="6"/>
  <c r="G154" i="4" l="1"/>
  <c r="I149" i="4"/>
  <c r="L149" i="6" s="1"/>
  <c r="AF149" i="6"/>
  <c r="D149" i="6"/>
  <c r="AA149" i="6"/>
  <c r="N149" i="3"/>
  <c r="H150" i="5"/>
  <c r="K150" i="5" s="1"/>
  <c r="U150" i="6" s="1"/>
  <c r="E149" i="6"/>
  <c r="N149" i="2"/>
  <c r="Z149" i="6"/>
  <c r="G149" i="2" l="1"/>
  <c r="I149" i="2"/>
  <c r="G149" i="3"/>
  <c r="I149" i="3"/>
  <c r="AE149" i="6"/>
  <c r="K149" i="6"/>
  <c r="I150" i="6"/>
  <c r="L150" i="5"/>
  <c r="H150" i="4"/>
  <c r="K150" i="4" s="1"/>
  <c r="T150" i="6" s="1"/>
  <c r="AD149" i="6"/>
  <c r="H150" i="6" l="1"/>
  <c r="C149" i="6"/>
  <c r="H150" i="3"/>
  <c r="K150" i="3" s="1"/>
  <c r="S150" i="6" s="1"/>
  <c r="Y150" i="6"/>
  <c r="M150" i="5"/>
  <c r="L150" i="4"/>
  <c r="X150" i="6" s="1"/>
  <c r="B149" i="6"/>
  <c r="H150" i="2"/>
  <c r="K150" i="2" s="1"/>
  <c r="R150" i="6" s="1"/>
  <c r="J149" i="6"/>
  <c r="G150" i="6" l="1"/>
  <c r="L150" i="3"/>
  <c r="AC150" i="6"/>
  <c r="N150" i="5"/>
  <c r="M150" i="4"/>
  <c r="AB150" i="6" s="1"/>
  <c r="F150" i="6"/>
  <c r="L150" i="2"/>
  <c r="G150" i="5" l="1"/>
  <c r="I150" i="5"/>
  <c r="W150" i="6"/>
  <c r="M150" i="3"/>
  <c r="AG150" i="6"/>
  <c r="M150" i="6"/>
  <c r="N150" i="4"/>
  <c r="M150" i="2"/>
  <c r="V150" i="6"/>
  <c r="G155" i="4" l="1"/>
  <c r="I150" i="4"/>
  <c r="AF150" i="6"/>
  <c r="D150" i="6"/>
  <c r="AA150" i="6"/>
  <c r="N150" i="3"/>
  <c r="E150" i="6"/>
  <c r="H151" i="5"/>
  <c r="K151" i="5" s="1"/>
  <c r="U151" i="6" s="1"/>
  <c r="D154" i="6"/>
  <c r="L150" i="6"/>
  <c r="N150" i="2"/>
  <c r="Z150" i="6"/>
  <c r="G150" i="2" l="1"/>
  <c r="B150" i="6" s="1"/>
  <c r="I150" i="2"/>
  <c r="G150" i="3"/>
  <c r="I150" i="3"/>
  <c r="AE150" i="6"/>
  <c r="K150" i="6"/>
  <c r="L151" i="5"/>
  <c r="I151" i="6"/>
  <c r="H151" i="4"/>
  <c r="K151" i="4" s="1"/>
  <c r="T151" i="6" s="1"/>
  <c r="AD150" i="6"/>
  <c r="H151" i="6" l="1"/>
  <c r="C150" i="6"/>
  <c r="H151" i="3"/>
  <c r="K151" i="3" s="1"/>
  <c r="S151" i="6" s="1"/>
  <c r="M151" i="5"/>
  <c r="Y151" i="6"/>
  <c r="L151" i="4"/>
  <c r="X151" i="6" s="1"/>
  <c r="H151" i="2"/>
  <c r="K151" i="2" s="1"/>
  <c r="R151" i="6" s="1"/>
  <c r="J150" i="6"/>
  <c r="G151" i="6" l="1"/>
  <c r="L151" i="3"/>
  <c r="AC151" i="6"/>
  <c r="N151" i="5"/>
  <c r="M151" i="4"/>
  <c r="AB151" i="6" s="1"/>
  <c r="L151" i="2"/>
  <c r="F151" i="6"/>
  <c r="G151" i="5" l="1"/>
  <c r="I151" i="5"/>
  <c r="W151" i="6"/>
  <c r="M151" i="3"/>
  <c r="AG151" i="6"/>
  <c r="M151" i="6"/>
  <c r="N151" i="4"/>
  <c r="M151" i="2"/>
  <c r="V151" i="6"/>
  <c r="G156" i="4" l="1"/>
  <c r="I151" i="4"/>
  <c r="L151" i="6" s="1"/>
  <c r="AF151" i="6"/>
  <c r="D151" i="6"/>
  <c r="AA151" i="6"/>
  <c r="N151" i="3"/>
  <c r="H152" i="5"/>
  <c r="K152" i="5" s="1"/>
  <c r="U152" i="6" s="1"/>
  <c r="E151" i="6"/>
  <c r="D155" i="6"/>
  <c r="N151" i="2"/>
  <c r="Z151" i="6"/>
  <c r="G151" i="2" l="1"/>
  <c r="I151" i="2"/>
  <c r="G151" i="3"/>
  <c r="I151" i="3"/>
  <c r="AE151" i="6"/>
  <c r="K151" i="6"/>
  <c r="L152" i="5"/>
  <c r="I152" i="6"/>
  <c r="H152" i="4"/>
  <c r="K152" i="4" s="1"/>
  <c r="T152" i="6" s="1"/>
  <c r="AD151" i="6"/>
  <c r="J151" i="6"/>
  <c r="H152" i="6" l="1"/>
  <c r="C151" i="6"/>
  <c r="H152" i="3"/>
  <c r="K152" i="3" s="1"/>
  <c r="S152" i="6" s="1"/>
  <c r="Y152" i="6"/>
  <c r="M152" i="5"/>
  <c r="L152" i="4"/>
  <c r="X152" i="6" s="1"/>
  <c r="B151" i="6"/>
  <c r="H152" i="2"/>
  <c r="K152" i="2" s="1"/>
  <c r="R152" i="6" s="1"/>
  <c r="G152" i="6" l="1"/>
  <c r="L152" i="3"/>
  <c r="N152" i="5"/>
  <c r="AC152" i="6"/>
  <c r="M152" i="4"/>
  <c r="AB152" i="6" s="1"/>
  <c r="F152" i="6"/>
  <c r="L152" i="2"/>
  <c r="G152" i="5" l="1"/>
  <c r="I152" i="5"/>
  <c r="W152" i="6"/>
  <c r="M152" i="3"/>
  <c r="AG152" i="6"/>
  <c r="M152" i="6"/>
  <c r="N152" i="4"/>
  <c r="M152" i="2"/>
  <c r="V152" i="6"/>
  <c r="G157" i="4" l="1"/>
  <c r="I152" i="4"/>
  <c r="L152" i="6" s="1"/>
  <c r="AF152" i="6"/>
  <c r="D152" i="6"/>
  <c r="AA152" i="6"/>
  <c r="N152" i="3"/>
  <c r="H153" i="5"/>
  <c r="K153" i="5" s="1"/>
  <c r="U153" i="6" s="1"/>
  <c r="E152" i="6"/>
  <c r="N152" i="2"/>
  <c r="Z152" i="6"/>
  <c r="G152" i="2" l="1"/>
  <c r="I152" i="2"/>
  <c r="G152" i="3"/>
  <c r="I152" i="3"/>
  <c r="AE152" i="6"/>
  <c r="K152" i="6"/>
  <c r="I153" i="6"/>
  <c r="L153" i="5"/>
  <c r="H153" i="4"/>
  <c r="K153" i="4" s="1"/>
  <c r="T153" i="6" s="1"/>
  <c r="AD152" i="6"/>
  <c r="J152" i="6"/>
  <c r="H153" i="6" l="1"/>
  <c r="C152" i="6"/>
  <c r="H153" i="3"/>
  <c r="K153" i="3" s="1"/>
  <c r="S153" i="6" s="1"/>
  <c r="M153" i="5"/>
  <c r="Y153" i="6"/>
  <c r="L153" i="4"/>
  <c r="X153" i="6" s="1"/>
  <c r="B152" i="6"/>
  <c r="H153" i="2"/>
  <c r="K153" i="2" s="1"/>
  <c r="R153" i="6" s="1"/>
  <c r="G153" i="6" l="1"/>
  <c r="L153" i="3"/>
  <c r="AC153" i="6"/>
  <c r="N153" i="5"/>
  <c r="M153" i="4"/>
  <c r="AB153" i="6" s="1"/>
  <c r="F153" i="6"/>
  <c r="L153" i="2"/>
  <c r="G153" i="5" l="1"/>
  <c r="I153" i="5"/>
  <c r="W153" i="6"/>
  <c r="M153" i="3"/>
  <c r="AG153" i="6"/>
  <c r="M153" i="6"/>
  <c r="N153" i="4"/>
  <c r="M153" i="2"/>
  <c r="V153" i="6"/>
  <c r="G158" i="4" l="1"/>
  <c r="I153" i="4"/>
  <c r="L153" i="6" s="1"/>
  <c r="AF153" i="6"/>
  <c r="D153" i="6"/>
  <c r="AA153" i="6"/>
  <c r="N153" i="3"/>
  <c r="E153" i="6"/>
  <c r="H154" i="5"/>
  <c r="K154" i="5" s="1"/>
  <c r="U154" i="6" s="1"/>
  <c r="D157" i="6"/>
  <c r="N153" i="2"/>
  <c r="Z153" i="6"/>
  <c r="G153" i="2" l="1"/>
  <c r="I153" i="2"/>
  <c r="G153" i="3"/>
  <c r="I153" i="3"/>
  <c r="K153" i="6" s="1"/>
  <c r="AE153" i="6"/>
  <c r="I154" i="6"/>
  <c r="L154" i="5"/>
  <c r="H154" i="4"/>
  <c r="K154" i="4" s="1"/>
  <c r="T154" i="6" s="1"/>
  <c r="AD153" i="6"/>
  <c r="J153" i="6"/>
  <c r="H154" i="6" l="1"/>
  <c r="C153" i="6"/>
  <c r="H154" i="3"/>
  <c r="K154" i="3" s="1"/>
  <c r="S154" i="6" s="1"/>
  <c r="Y154" i="6"/>
  <c r="M154" i="5"/>
  <c r="L154" i="4"/>
  <c r="X154" i="6" s="1"/>
  <c r="B153" i="6"/>
  <c r="H154" i="2"/>
  <c r="K154" i="2" s="1"/>
  <c r="R154" i="6" s="1"/>
  <c r="G154" i="6" l="1"/>
  <c r="L154" i="3"/>
  <c r="AC154" i="6"/>
  <c r="N154" i="5"/>
  <c r="M154" i="4"/>
  <c r="AB154" i="6" s="1"/>
  <c r="F154" i="6"/>
  <c r="L154" i="2"/>
  <c r="G154" i="5" l="1"/>
  <c r="I154" i="5"/>
  <c r="W154" i="6"/>
  <c r="M154" i="3"/>
  <c r="AG154" i="6"/>
  <c r="M154" i="6"/>
  <c r="N154" i="4"/>
  <c r="M154" i="2"/>
  <c r="V154" i="6"/>
  <c r="G159" i="4" l="1"/>
  <c r="I154" i="4"/>
  <c r="L154" i="6" s="1"/>
  <c r="AF154" i="6"/>
  <c r="D158" i="6"/>
  <c r="AA154" i="6"/>
  <c r="N154" i="3"/>
  <c r="E154" i="6"/>
  <c r="H155" i="5"/>
  <c r="K155" i="5" s="1"/>
  <c r="U155" i="6" s="1"/>
  <c r="N154" i="2"/>
  <c r="Z154" i="6"/>
  <c r="G154" i="2" l="1"/>
  <c r="I154" i="2"/>
  <c r="G154" i="3"/>
  <c r="I154" i="3"/>
  <c r="AE154" i="6"/>
  <c r="K154" i="6"/>
  <c r="I155" i="6"/>
  <c r="L155" i="5"/>
  <c r="H155" i="4"/>
  <c r="K155" i="4" s="1"/>
  <c r="T155" i="6" s="1"/>
  <c r="AD154" i="6"/>
  <c r="J154" i="6"/>
  <c r="H155" i="6" l="1"/>
  <c r="C154" i="6"/>
  <c r="H155" i="3"/>
  <c r="K155" i="3" s="1"/>
  <c r="S155" i="6" s="1"/>
  <c r="M155" i="5"/>
  <c r="Y155" i="6"/>
  <c r="L155" i="4"/>
  <c r="X155" i="6" s="1"/>
  <c r="B154" i="6"/>
  <c r="H155" i="2"/>
  <c r="K155" i="2" s="1"/>
  <c r="R155" i="6" s="1"/>
  <c r="G155" i="6" l="1"/>
  <c r="L155" i="3"/>
  <c r="N155" i="5"/>
  <c r="AC155" i="6"/>
  <c r="M155" i="4"/>
  <c r="AB155" i="6" s="1"/>
  <c r="F155" i="6"/>
  <c r="L155" i="2"/>
  <c r="G155" i="5" l="1"/>
  <c r="I155" i="5"/>
  <c r="M155" i="6" s="1"/>
  <c r="W155" i="6"/>
  <c r="M155" i="3"/>
  <c r="AG155" i="6"/>
  <c r="N155" i="4"/>
  <c r="M155" i="2"/>
  <c r="V155" i="6"/>
  <c r="G160" i="4" l="1"/>
  <c r="I155" i="4"/>
  <c r="AF155" i="6"/>
  <c r="AA155" i="6"/>
  <c r="N155" i="3"/>
  <c r="H156" i="5"/>
  <c r="K156" i="5" s="1"/>
  <c r="U156" i="6" s="1"/>
  <c r="E155" i="6"/>
  <c r="L155" i="6"/>
  <c r="N155" i="2"/>
  <c r="Z155" i="6"/>
  <c r="G155" i="2" l="1"/>
  <c r="I155" i="2"/>
  <c r="G155" i="3"/>
  <c r="I155" i="3"/>
  <c r="K155" i="6" s="1"/>
  <c r="AE155" i="6"/>
  <c r="L156" i="5"/>
  <c r="I156" i="6"/>
  <c r="H156" i="4"/>
  <c r="K156" i="4" s="1"/>
  <c r="T156" i="6" s="1"/>
  <c r="AD155" i="6"/>
  <c r="J155" i="6"/>
  <c r="H156" i="6" l="1"/>
  <c r="C155" i="6"/>
  <c r="H156" i="3"/>
  <c r="K156" i="3" s="1"/>
  <c r="S156" i="6" s="1"/>
  <c r="Y156" i="6"/>
  <c r="M156" i="5"/>
  <c r="L156" i="4"/>
  <c r="X156" i="6" s="1"/>
  <c r="B155" i="6"/>
  <c r="H156" i="2"/>
  <c r="K156" i="2" s="1"/>
  <c r="R156" i="6" s="1"/>
  <c r="G156" i="6" l="1"/>
  <c r="L156" i="3"/>
  <c r="N156" i="5"/>
  <c r="AC156" i="6"/>
  <c r="M156" i="4"/>
  <c r="AB156" i="6" s="1"/>
  <c r="F156" i="6"/>
  <c r="L156" i="2"/>
  <c r="G156" i="5" l="1"/>
  <c r="I156" i="5"/>
  <c r="W156" i="6"/>
  <c r="M156" i="3"/>
  <c r="AG156" i="6"/>
  <c r="M156" i="6"/>
  <c r="N156" i="4"/>
  <c r="M156" i="2"/>
  <c r="V156" i="6"/>
  <c r="G161" i="4" l="1"/>
  <c r="I156" i="4"/>
  <c r="AF156" i="6"/>
  <c r="D156" i="6"/>
  <c r="AA156" i="6"/>
  <c r="N156" i="3"/>
  <c r="H157" i="5"/>
  <c r="K157" i="5" s="1"/>
  <c r="U157" i="6" s="1"/>
  <c r="E156" i="6"/>
  <c r="D160" i="6"/>
  <c r="L156" i="6"/>
  <c r="N156" i="2"/>
  <c r="Z156" i="6"/>
  <c r="G156" i="2" l="1"/>
  <c r="I156" i="2"/>
  <c r="G156" i="3"/>
  <c r="I156" i="3"/>
  <c r="AE156" i="6"/>
  <c r="K156" i="6"/>
  <c r="L157" i="5"/>
  <c r="I157" i="6"/>
  <c r="H157" i="4"/>
  <c r="K157" i="4" s="1"/>
  <c r="T157" i="6" s="1"/>
  <c r="AD156" i="6"/>
  <c r="J156" i="6"/>
  <c r="H157" i="6" l="1"/>
  <c r="C156" i="6"/>
  <c r="H157" i="3"/>
  <c r="K157" i="3" s="1"/>
  <c r="S157" i="6" s="1"/>
  <c r="Y157" i="6"/>
  <c r="M157" i="5"/>
  <c r="L157" i="4"/>
  <c r="X157" i="6" s="1"/>
  <c r="B156" i="6"/>
  <c r="H157" i="2"/>
  <c r="K157" i="2" s="1"/>
  <c r="R157" i="6" s="1"/>
  <c r="G157" i="6" l="1"/>
  <c r="L157" i="3"/>
  <c r="AC157" i="6"/>
  <c r="N157" i="5"/>
  <c r="M157" i="4"/>
  <c r="AB157" i="6" s="1"/>
  <c r="F157" i="6"/>
  <c r="L157" i="2"/>
  <c r="G157" i="5" l="1"/>
  <c r="I157" i="5"/>
  <c r="W157" i="6"/>
  <c r="M157" i="3"/>
  <c r="AG157" i="6"/>
  <c r="M157" i="6"/>
  <c r="N157" i="4"/>
  <c r="M157" i="2"/>
  <c r="V157" i="6"/>
  <c r="G162" i="4" l="1"/>
  <c r="I157" i="4"/>
  <c r="L157" i="6" s="1"/>
  <c r="AF157" i="6"/>
  <c r="D161" i="6"/>
  <c r="AA157" i="6"/>
  <c r="N157" i="3"/>
  <c r="E157" i="6"/>
  <c r="H158" i="5"/>
  <c r="K158" i="5" s="1"/>
  <c r="U158" i="6" s="1"/>
  <c r="N157" i="2"/>
  <c r="Z157" i="6"/>
  <c r="G157" i="2" l="1"/>
  <c r="I157" i="2"/>
  <c r="G157" i="3"/>
  <c r="I157" i="3"/>
  <c r="AE157" i="6"/>
  <c r="K157" i="6"/>
  <c r="I158" i="6"/>
  <c r="L158" i="5"/>
  <c r="H158" i="4"/>
  <c r="K158" i="4" s="1"/>
  <c r="T158" i="6" s="1"/>
  <c r="AD157" i="6"/>
  <c r="J157" i="6"/>
  <c r="H158" i="6" l="1"/>
  <c r="C157" i="6"/>
  <c r="H158" i="3"/>
  <c r="K158" i="3" s="1"/>
  <c r="S158" i="6" s="1"/>
  <c r="M158" i="5"/>
  <c r="Y158" i="6"/>
  <c r="L158" i="4"/>
  <c r="X158" i="6" s="1"/>
  <c r="B157" i="6"/>
  <c r="H158" i="2"/>
  <c r="K158" i="2" s="1"/>
  <c r="R158" i="6" s="1"/>
  <c r="G158" i="6" l="1"/>
  <c r="L158" i="3"/>
  <c r="AC158" i="6"/>
  <c r="N158" i="5"/>
  <c r="M158" i="4"/>
  <c r="AB158" i="6" s="1"/>
  <c r="F158" i="6"/>
  <c r="L158" i="2"/>
  <c r="G158" i="5" l="1"/>
  <c r="I158" i="5"/>
  <c r="W158" i="6"/>
  <c r="M158" i="3"/>
  <c r="AG158" i="6"/>
  <c r="M158" i="6"/>
  <c r="N158" i="4"/>
  <c r="M158" i="2"/>
  <c r="V158" i="6"/>
  <c r="G163" i="4" l="1"/>
  <c r="I158" i="4"/>
  <c r="AF158" i="6"/>
  <c r="AA158" i="6"/>
  <c r="N158" i="3"/>
  <c r="H159" i="5"/>
  <c r="K159" i="5" s="1"/>
  <c r="U159" i="6" s="1"/>
  <c r="E158" i="6"/>
  <c r="L158" i="6"/>
  <c r="N158" i="2"/>
  <c r="Z158" i="6"/>
  <c r="G158" i="2" l="1"/>
  <c r="I158" i="2"/>
  <c r="G158" i="3"/>
  <c r="I158" i="3"/>
  <c r="AE158" i="6"/>
  <c r="K158" i="6"/>
  <c r="I159" i="6"/>
  <c r="L159" i="5"/>
  <c r="H159" i="4"/>
  <c r="K159" i="4" s="1"/>
  <c r="T159" i="6" s="1"/>
  <c r="AD158" i="6"/>
  <c r="J158" i="6"/>
  <c r="H159" i="6" l="1"/>
  <c r="C158" i="6"/>
  <c r="H159" i="3"/>
  <c r="K159" i="3" s="1"/>
  <c r="S159" i="6" s="1"/>
  <c r="M159" i="5"/>
  <c r="Y159" i="6"/>
  <c r="L159" i="4"/>
  <c r="X159" i="6" s="1"/>
  <c r="B158" i="6"/>
  <c r="H159" i="2"/>
  <c r="K159" i="2" s="1"/>
  <c r="R159" i="6" s="1"/>
  <c r="G159" i="6" l="1"/>
  <c r="L159" i="3"/>
  <c r="AC159" i="6"/>
  <c r="N159" i="5"/>
  <c r="M159" i="4"/>
  <c r="AB159" i="6" s="1"/>
  <c r="F159" i="6"/>
  <c r="L159" i="2"/>
  <c r="G159" i="5" l="1"/>
  <c r="I159" i="5"/>
  <c r="W159" i="6"/>
  <c r="M159" i="3"/>
  <c r="AG159" i="6"/>
  <c r="M159" i="6"/>
  <c r="N159" i="4"/>
  <c r="M159" i="2"/>
  <c r="V159" i="6"/>
  <c r="G164" i="4" l="1"/>
  <c r="I159" i="4"/>
  <c r="L159" i="6" s="1"/>
  <c r="AF159" i="6"/>
  <c r="D159" i="6"/>
  <c r="AA159" i="6"/>
  <c r="N159" i="3"/>
  <c r="H160" i="5"/>
  <c r="K160" i="5" s="1"/>
  <c r="U160" i="6" s="1"/>
  <c r="E159" i="6"/>
  <c r="D163" i="6"/>
  <c r="N159" i="2"/>
  <c r="Z159" i="6"/>
  <c r="G159" i="2" l="1"/>
  <c r="I159" i="2"/>
  <c r="G159" i="3"/>
  <c r="I159" i="3"/>
  <c r="AE159" i="6"/>
  <c r="K159" i="6"/>
  <c r="I160" i="6"/>
  <c r="L160" i="5"/>
  <c r="H160" i="4"/>
  <c r="K160" i="4" s="1"/>
  <c r="T160" i="6" s="1"/>
  <c r="AD159" i="6"/>
  <c r="J159" i="6"/>
  <c r="H160" i="6" l="1"/>
  <c r="C159" i="6"/>
  <c r="H160" i="3"/>
  <c r="K160" i="3" s="1"/>
  <c r="S160" i="6" s="1"/>
  <c r="Y160" i="6"/>
  <c r="M160" i="5"/>
  <c r="L160" i="4"/>
  <c r="X160" i="6" s="1"/>
  <c r="B159" i="6"/>
  <c r="H160" i="2"/>
  <c r="K160" i="2" s="1"/>
  <c r="R160" i="6" s="1"/>
  <c r="G160" i="6" l="1"/>
  <c r="L160" i="3"/>
  <c r="N160" i="5"/>
  <c r="AC160" i="6"/>
  <c r="M160" i="4"/>
  <c r="AB160" i="6" s="1"/>
  <c r="F160" i="6"/>
  <c r="L160" i="2"/>
  <c r="G160" i="5" l="1"/>
  <c r="I160" i="5"/>
  <c r="W160" i="6"/>
  <c r="M160" i="3"/>
  <c r="AG160" i="6"/>
  <c r="M160" i="6"/>
  <c r="N160" i="4"/>
  <c r="M160" i="2"/>
  <c r="V160" i="6"/>
  <c r="G165" i="4" l="1"/>
  <c r="I160" i="4"/>
  <c r="L160" i="6" s="1"/>
  <c r="AF160" i="6"/>
  <c r="AA160" i="6"/>
  <c r="N160" i="3"/>
  <c r="H161" i="5"/>
  <c r="K161" i="5" s="1"/>
  <c r="U161" i="6" s="1"/>
  <c r="E160" i="6"/>
  <c r="D164" i="6"/>
  <c r="N160" i="2"/>
  <c r="Z160" i="6"/>
  <c r="G160" i="2" l="1"/>
  <c r="I160" i="2"/>
  <c r="G160" i="3"/>
  <c r="I160" i="3"/>
  <c r="AE160" i="6"/>
  <c r="K160" i="6"/>
  <c r="I161" i="6"/>
  <c r="L161" i="5"/>
  <c r="H161" i="4"/>
  <c r="K161" i="4" s="1"/>
  <c r="T161" i="6" s="1"/>
  <c r="AD160" i="6"/>
  <c r="J160" i="6"/>
  <c r="H161" i="6" l="1"/>
  <c r="C160" i="6"/>
  <c r="H161" i="3"/>
  <c r="K161" i="3" s="1"/>
  <c r="S161" i="6" s="1"/>
  <c r="Y161" i="6"/>
  <c r="M161" i="5"/>
  <c r="L161" i="4"/>
  <c r="X161" i="6" s="1"/>
  <c r="B160" i="6"/>
  <c r="H161" i="2"/>
  <c r="K161" i="2" s="1"/>
  <c r="R161" i="6" s="1"/>
  <c r="G161" i="6" l="1"/>
  <c r="L161" i="3"/>
  <c r="N161" i="5"/>
  <c r="AC161" i="6"/>
  <c r="M161" i="4"/>
  <c r="AB161" i="6" s="1"/>
  <c r="F161" i="6"/>
  <c r="L161" i="2"/>
  <c r="G161" i="5" l="1"/>
  <c r="I161" i="5"/>
  <c r="W161" i="6"/>
  <c r="M161" i="3"/>
  <c r="AG161" i="6"/>
  <c r="M161" i="6"/>
  <c r="N161" i="4"/>
  <c r="M161" i="2"/>
  <c r="V161" i="6"/>
  <c r="G166" i="4" l="1"/>
  <c r="I161" i="4"/>
  <c r="AF161" i="6"/>
  <c r="AA161" i="6"/>
  <c r="N161" i="3"/>
  <c r="H162" i="5"/>
  <c r="K162" i="5" s="1"/>
  <c r="U162" i="6" s="1"/>
  <c r="E161" i="6"/>
  <c r="L161" i="6"/>
  <c r="N161" i="2"/>
  <c r="Z161" i="6"/>
  <c r="G161" i="2" l="1"/>
  <c r="I161" i="2"/>
  <c r="J161" i="6" s="1"/>
  <c r="G161" i="3"/>
  <c r="I161" i="3"/>
  <c r="AE161" i="6"/>
  <c r="K161" i="6"/>
  <c r="I162" i="6"/>
  <c r="L162" i="5"/>
  <c r="H162" i="4"/>
  <c r="K162" i="4" s="1"/>
  <c r="T162" i="6" s="1"/>
  <c r="AD161" i="6"/>
  <c r="H162" i="6" l="1"/>
  <c r="C161" i="6"/>
  <c r="H162" i="3"/>
  <c r="K162" i="3" s="1"/>
  <c r="S162" i="6" s="1"/>
  <c r="M162" i="5"/>
  <c r="Y162" i="6"/>
  <c r="L162" i="4"/>
  <c r="X162" i="6" s="1"/>
  <c r="H162" i="2"/>
  <c r="K162" i="2" s="1"/>
  <c r="R162" i="6" s="1"/>
  <c r="B161" i="6"/>
  <c r="G162" i="6" l="1"/>
  <c r="L162" i="3"/>
  <c r="AC162" i="6"/>
  <c r="N162" i="5"/>
  <c r="M162" i="4"/>
  <c r="AB162" i="6" s="1"/>
  <c r="F162" i="6"/>
  <c r="L162" i="2"/>
  <c r="G162" i="5" l="1"/>
  <c r="I162" i="5"/>
  <c r="W162" i="6"/>
  <c r="M162" i="3"/>
  <c r="AG162" i="6"/>
  <c r="M162" i="6"/>
  <c r="N162" i="4"/>
  <c r="M162" i="2"/>
  <c r="V162" i="6"/>
  <c r="G167" i="4" l="1"/>
  <c r="I162" i="4"/>
  <c r="AF162" i="6"/>
  <c r="D162" i="6"/>
  <c r="AA162" i="6"/>
  <c r="N162" i="3"/>
  <c r="H163" i="5"/>
  <c r="K163" i="5" s="1"/>
  <c r="U163" i="6" s="1"/>
  <c r="E162" i="6"/>
  <c r="D166" i="6"/>
  <c r="L162" i="6"/>
  <c r="N162" i="2"/>
  <c r="Z162" i="6"/>
  <c r="G162" i="2" l="1"/>
  <c r="B162" i="6" s="1"/>
  <c r="I162" i="2"/>
  <c r="G162" i="3"/>
  <c r="I162" i="3"/>
  <c r="AE162" i="6"/>
  <c r="K162" i="6"/>
  <c r="I163" i="6"/>
  <c r="L163" i="5"/>
  <c r="H163" i="4"/>
  <c r="K163" i="4" s="1"/>
  <c r="T163" i="6" s="1"/>
  <c r="AD162" i="6"/>
  <c r="H163" i="6" l="1"/>
  <c r="C162" i="6"/>
  <c r="H163" i="3"/>
  <c r="K163" i="3" s="1"/>
  <c r="S163" i="6" s="1"/>
  <c r="Y163" i="6"/>
  <c r="M163" i="5"/>
  <c r="L163" i="4"/>
  <c r="X163" i="6" s="1"/>
  <c r="H163" i="2"/>
  <c r="K163" i="2" s="1"/>
  <c r="R163" i="6" s="1"/>
  <c r="J162" i="6"/>
  <c r="G163" i="6" l="1"/>
  <c r="L163" i="3"/>
  <c r="N163" i="5"/>
  <c r="AC163" i="6"/>
  <c r="M163" i="4"/>
  <c r="AB163" i="6" s="1"/>
  <c r="L163" i="2"/>
  <c r="F163" i="6"/>
  <c r="G163" i="5" l="1"/>
  <c r="I163" i="5"/>
  <c r="W163" i="6"/>
  <c r="M163" i="3"/>
  <c r="AG163" i="6"/>
  <c r="M163" i="6"/>
  <c r="N163" i="4"/>
  <c r="M163" i="2"/>
  <c r="V163" i="6"/>
  <c r="G168" i="4" l="1"/>
  <c r="I163" i="4"/>
  <c r="L163" i="6" s="1"/>
  <c r="AF163" i="6"/>
  <c r="AA163" i="6"/>
  <c r="N163" i="3"/>
  <c r="H164" i="5"/>
  <c r="K164" i="5" s="1"/>
  <c r="U164" i="6" s="1"/>
  <c r="E163" i="6"/>
  <c r="D167" i="6"/>
  <c r="N163" i="2"/>
  <c r="Z163" i="6"/>
  <c r="G163" i="2" l="1"/>
  <c r="I163" i="2"/>
  <c r="G163" i="3"/>
  <c r="I163" i="3"/>
  <c r="AE163" i="6"/>
  <c r="K163" i="6"/>
  <c r="L164" i="5"/>
  <c r="I164" i="6"/>
  <c r="H164" i="4"/>
  <c r="K164" i="4" s="1"/>
  <c r="T164" i="6" s="1"/>
  <c r="AD163" i="6"/>
  <c r="J163" i="6"/>
  <c r="H164" i="6" l="1"/>
  <c r="C163" i="6"/>
  <c r="H164" i="3"/>
  <c r="K164" i="3" s="1"/>
  <c r="S164" i="6" s="1"/>
  <c r="Y164" i="6"/>
  <c r="M164" i="5"/>
  <c r="L164" i="4"/>
  <c r="X164" i="6" s="1"/>
  <c r="B163" i="6"/>
  <c r="H164" i="2"/>
  <c r="K164" i="2" s="1"/>
  <c r="R164" i="6" s="1"/>
  <c r="G164" i="6" l="1"/>
  <c r="L164" i="3"/>
  <c r="N164" i="5"/>
  <c r="AC164" i="6"/>
  <c r="M164" i="4"/>
  <c r="AB164" i="6" s="1"/>
  <c r="F164" i="6"/>
  <c r="L164" i="2"/>
  <c r="G164" i="5" l="1"/>
  <c r="I164" i="5"/>
  <c r="W164" i="6"/>
  <c r="M164" i="3"/>
  <c r="AG164" i="6"/>
  <c r="M164" i="6"/>
  <c r="N164" i="4"/>
  <c r="M164" i="2"/>
  <c r="V164" i="6"/>
  <c r="G169" i="4" l="1"/>
  <c r="I164" i="4"/>
  <c r="L164" i="6" s="1"/>
  <c r="AF164" i="6"/>
  <c r="AA164" i="6"/>
  <c r="N164" i="3"/>
  <c r="E164" i="6"/>
  <c r="H165" i="5"/>
  <c r="K165" i="5" s="1"/>
  <c r="U165" i="6" s="1"/>
  <c r="N164" i="2"/>
  <c r="Z164" i="6"/>
  <c r="G164" i="2" l="1"/>
  <c r="I164" i="2"/>
  <c r="G164" i="3"/>
  <c r="I164" i="3"/>
  <c r="AE164" i="6"/>
  <c r="K164" i="6"/>
  <c r="I165" i="6"/>
  <c r="L165" i="5"/>
  <c r="H165" i="4"/>
  <c r="K165" i="4" s="1"/>
  <c r="T165" i="6" s="1"/>
  <c r="AD164" i="6"/>
  <c r="J164" i="6"/>
  <c r="H165" i="6" l="1"/>
  <c r="C164" i="6"/>
  <c r="H165" i="3"/>
  <c r="K165" i="3" s="1"/>
  <c r="S165" i="6" s="1"/>
  <c r="Y165" i="6"/>
  <c r="M165" i="5"/>
  <c r="L165" i="4"/>
  <c r="X165" i="6" s="1"/>
  <c r="B164" i="6"/>
  <c r="H165" i="2"/>
  <c r="K165" i="2" s="1"/>
  <c r="R165" i="6" s="1"/>
  <c r="G165" i="6" l="1"/>
  <c r="L165" i="3"/>
  <c r="N165" i="5"/>
  <c r="AC165" i="6"/>
  <c r="M165" i="4"/>
  <c r="AB165" i="6" s="1"/>
  <c r="F165" i="6"/>
  <c r="L165" i="2"/>
  <c r="G165" i="5" l="1"/>
  <c r="I165" i="5"/>
  <c r="W165" i="6"/>
  <c r="M165" i="3"/>
  <c r="AG165" i="6"/>
  <c r="M165" i="6"/>
  <c r="N165" i="4"/>
  <c r="M165" i="2"/>
  <c r="V165" i="6"/>
  <c r="G170" i="4" l="1"/>
  <c r="I165" i="4"/>
  <c r="AF165" i="6"/>
  <c r="D165" i="6"/>
  <c r="AA165" i="6"/>
  <c r="N165" i="3"/>
  <c r="E165" i="6"/>
  <c r="H166" i="5"/>
  <c r="K166" i="5" s="1"/>
  <c r="U166" i="6" s="1"/>
  <c r="D169" i="6"/>
  <c r="L165" i="6"/>
  <c r="N165" i="2"/>
  <c r="Z165" i="6"/>
  <c r="G165" i="2" l="1"/>
  <c r="I165" i="2"/>
  <c r="G165" i="3"/>
  <c r="I165" i="3"/>
  <c r="AE165" i="6"/>
  <c r="K165" i="6"/>
  <c r="L166" i="5"/>
  <c r="I166" i="6"/>
  <c r="H166" i="4"/>
  <c r="K166" i="4" s="1"/>
  <c r="T166" i="6" s="1"/>
  <c r="AD165" i="6"/>
  <c r="J165" i="6"/>
  <c r="H166" i="6" l="1"/>
  <c r="C165" i="6"/>
  <c r="H166" i="3"/>
  <c r="K166" i="3" s="1"/>
  <c r="S166" i="6" s="1"/>
  <c r="Y166" i="6"/>
  <c r="M166" i="5"/>
  <c r="L166" i="4"/>
  <c r="X166" i="6" s="1"/>
  <c r="B165" i="6"/>
  <c r="H166" i="2"/>
  <c r="K166" i="2" s="1"/>
  <c r="R166" i="6" s="1"/>
  <c r="G166" i="6" l="1"/>
  <c r="L166" i="3"/>
  <c r="N166" i="5"/>
  <c r="AC166" i="6"/>
  <c r="M166" i="4"/>
  <c r="AB166" i="6" s="1"/>
  <c r="F166" i="6"/>
  <c r="L166" i="2"/>
  <c r="G166" i="5" l="1"/>
  <c r="I166" i="5"/>
  <c r="W166" i="6"/>
  <c r="M166" i="3"/>
  <c r="AG166" i="6"/>
  <c r="M166" i="6"/>
  <c r="N166" i="4"/>
  <c r="M166" i="2"/>
  <c r="V166" i="6"/>
  <c r="G171" i="4" l="1"/>
  <c r="I166" i="4"/>
  <c r="L166" i="6" s="1"/>
  <c r="AF166" i="6"/>
  <c r="AA166" i="6"/>
  <c r="N166" i="3"/>
  <c r="E166" i="6"/>
  <c r="H167" i="5"/>
  <c r="K167" i="5" s="1"/>
  <c r="U167" i="6" s="1"/>
  <c r="D170" i="6"/>
  <c r="N166" i="2"/>
  <c r="Z166" i="6"/>
  <c r="G166" i="2" l="1"/>
  <c r="I166" i="2"/>
  <c r="G166" i="3"/>
  <c r="I166" i="3"/>
  <c r="AE166" i="6"/>
  <c r="K166" i="6"/>
  <c r="L167" i="5"/>
  <c r="I167" i="6"/>
  <c r="H167" i="4"/>
  <c r="K167" i="4" s="1"/>
  <c r="T167" i="6" s="1"/>
  <c r="AD166" i="6"/>
  <c r="J166" i="6"/>
  <c r="H167" i="6" l="1"/>
  <c r="C166" i="6"/>
  <c r="H167" i="3"/>
  <c r="K167" i="3" s="1"/>
  <c r="S167" i="6" s="1"/>
  <c r="Y167" i="6"/>
  <c r="M167" i="5"/>
  <c r="L167" i="4"/>
  <c r="X167" i="6" s="1"/>
  <c r="B166" i="6"/>
  <c r="H167" i="2"/>
  <c r="K167" i="2" s="1"/>
  <c r="R167" i="6" s="1"/>
  <c r="G167" i="6" l="1"/>
  <c r="L167" i="3"/>
  <c r="N167" i="5"/>
  <c r="AC167" i="6"/>
  <c r="M167" i="4"/>
  <c r="AB167" i="6" s="1"/>
  <c r="F167" i="6"/>
  <c r="L167" i="2"/>
  <c r="G167" i="5" l="1"/>
  <c r="I167" i="5"/>
  <c r="W167" i="6"/>
  <c r="M167" i="3"/>
  <c r="AG167" i="6"/>
  <c r="M167" i="6"/>
  <c r="N167" i="4"/>
  <c r="M167" i="2"/>
  <c r="V167" i="6"/>
  <c r="G172" i="4" l="1"/>
  <c r="I167" i="4"/>
  <c r="AF167" i="6"/>
  <c r="AA167" i="6"/>
  <c r="N167" i="3"/>
  <c r="E167" i="6"/>
  <c r="H168" i="5"/>
  <c r="K168" i="5" s="1"/>
  <c r="U168" i="6" s="1"/>
  <c r="L167" i="6"/>
  <c r="N167" i="2"/>
  <c r="Z167" i="6"/>
  <c r="G167" i="2" l="1"/>
  <c r="I167" i="2"/>
  <c r="G167" i="3"/>
  <c r="I167" i="3"/>
  <c r="AE167" i="6"/>
  <c r="K167" i="6"/>
  <c r="I168" i="6"/>
  <c r="L168" i="5"/>
  <c r="H168" i="4"/>
  <c r="K168" i="4" s="1"/>
  <c r="T168" i="6" s="1"/>
  <c r="AD167" i="6"/>
  <c r="J167" i="6"/>
  <c r="H168" i="6" l="1"/>
  <c r="C167" i="6"/>
  <c r="H168" i="3"/>
  <c r="K168" i="3" s="1"/>
  <c r="S168" i="6" s="1"/>
  <c r="Y168" i="6"/>
  <c r="M168" i="5"/>
  <c r="L168" i="4"/>
  <c r="X168" i="6" s="1"/>
  <c r="B167" i="6"/>
  <c r="H168" i="2"/>
  <c r="K168" i="2" s="1"/>
  <c r="R168" i="6" s="1"/>
  <c r="G168" i="6" l="1"/>
  <c r="L168" i="3"/>
  <c r="N168" i="5"/>
  <c r="AC168" i="6"/>
  <c r="M168" i="4"/>
  <c r="AB168" i="6" s="1"/>
  <c r="F168" i="6"/>
  <c r="L168" i="2"/>
  <c r="G168" i="5" l="1"/>
  <c r="I168" i="5"/>
  <c r="W168" i="6"/>
  <c r="M168" i="3"/>
  <c r="AG168" i="6"/>
  <c r="M168" i="6"/>
  <c r="N168" i="4"/>
  <c r="M168" i="2"/>
  <c r="V168" i="6"/>
  <c r="G173" i="4" l="1"/>
  <c r="I168" i="4"/>
  <c r="AF168" i="6"/>
  <c r="D168" i="6"/>
  <c r="AA168" i="6"/>
  <c r="N168" i="3"/>
  <c r="E168" i="6"/>
  <c r="H169" i="5"/>
  <c r="K169" i="5" s="1"/>
  <c r="U169" i="6" s="1"/>
  <c r="D172" i="6"/>
  <c r="L168" i="6"/>
  <c r="N168" i="2"/>
  <c r="Z168" i="6"/>
  <c r="G168" i="2" l="1"/>
  <c r="I168" i="2"/>
  <c r="G168" i="3"/>
  <c r="I168" i="3"/>
  <c r="AE168" i="6"/>
  <c r="K168" i="6"/>
  <c r="L169" i="5"/>
  <c r="I169" i="6"/>
  <c r="H169" i="4"/>
  <c r="K169" i="4" s="1"/>
  <c r="T169" i="6" s="1"/>
  <c r="AD168" i="6"/>
  <c r="J168" i="6"/>
  <c r="H169" i="6" l="1"/>
  <c r="C168" i="6"/>
  <c r="H169" i="3"/>
  <c r="K169" i="3" s="1"/>
  <c r="S169" i="6" s="1"/>
  <c r="M169" i="5"/>
  <c r="Y169" i="6"/>
  <c r="L169" i="4"/>
  <c r="X169" i="6" s="1"/>
  <c r="B168" i="6"/>
  <c r="H169" i="2"/>
  <c r="K169" i="2" s="1"/>
  <c r="R169" i="6" s="1"/>
  <c r="G169" i="6" l="1"/>
  <c r="L169" i="3"/>
  <c r="N169" i="5"/>
  <c r="AC169" i="6"/>
  <c r="M169" i="4"/>
  <c r="AB169" i="6" s="1"/>
  <c r="F169" i="6"/>
  <c r="L169" i="2"/>
  <c r="G169" i="5" l="1"/>
  <c r="I169" i="5"/>
  <c r="W169" i="6"/>
  <c r="M169" i="3"/>
  <c r="AG169" i="6"/>
  <c r="M169" i="6"/>
  <c r="N169" i="4"/>
  <c r="M169" i="2"/>
  <c r="V169" i="6"/>
  <c r="G174" i="4" l="1"/>
  <c r="I169" i="4"/>
  <c r="L169" i="6" s="1"/>
  <c r="AF169" i="6"/>
  <c r="AA169" i="6"/>
  <c r="N169" i="3"/>
  <c r="E169" i="6"/>
  <c r="H170" i="5"/>
  <c r="K170" i="5" s="1"/>
  <c r="U170" i="6" s="1"/>
  <c r="D173" i="6"/>
  <c r="N169" i="2"/>
  <c r="Z169" i="6"/>
  <c r="G169" i="2" l="1"/>
  <c r="I169" i="2"/>
  <c r="G169" i="3"/>
  <c r="I169" i="3"/>
  <c r="AE169" i="6"/>
  <c r="K169" i="6"/>
  <c r="L170" i="5"/>
  <c r="I170" i="6"/>
  <c r="H170" i="4"/>
  <c r="K170" i="4" s="1"/>
  <c r="T170" i="6" s="1"/>
  <c r="AD169" i="6"/>
  <c r="J169" i="6"/>
  <c r="H170" i="6" l="1"/>
  <c r="C169" i="6"/>
  <c r="H170" i="3"/>
  <c r="K170" i="3" s="1"/>
  <c r="S170" i="6" s="1"/>
  <c r="M170" i="5"/>
  <c r="Y170" i="6"/>
  <c r="L170" i="4"/>
  <c r="X170" i="6" s="1"/>
  <c r="B169" i="6"/>
  <c r="H170" i="2"/>
  <c r="K170" i="2" s="1"/>
  <c r="R170" i="6" s="1"/>
  <c r="G170" i="6" l="1"/>
  <c r="L170" i="3"/>
  <c r="AC170" i="6"/>
  <c r="N170" i="5"/>
  <c r="M170" i="4"/>
  <c r="AB170" i="6" s="1"/>
  <c r="F170" i="6"/>
  <c r="L170" i="2"/>
  <c r="G170" i="5" l="1"/>
  <c r="I170" i="5"/>
  <c r="W170" i="6"/>
  <c r="M170" i="3"/>
  <c r="AG170" i="6"/>
  <c r="M170" i="6"/>
  <c r="N170" i="4"/>
  <c r="M170" i="2"/>
  <c r="V170" i="6"/>
  <c r="G175" i="4" l="1"/>
  <c r="I170" i="4"/>
  <c r="L170" i="6" s="1"/>
  <c r="AF170" i="6"/>
  <c r="AA170" i="6"/>
  <c r="N170" i="3"/>
  <c r="H171" i="5"/>
  <c r="K171" i="5" s="1"/>
  <c r="U171" i="6" s="1"/>
  <c r="E170" i="6"/>
  <c r="N170" i="2"/>
  <c r="Z170" i="6"/>
  <c r="G170" i="2" l="1"/>
  <c r="I170" i="2"/>
  <c r="G170" i="3"/>
  <c r="I170" i="3"/>
  <c r="AE170" i="6"/>
  <c r="K170" i="6"/>
  <c r="I171" i="6"/>
  <c r="L171" i="5"/>
  <c r="H171" i="4"/>
  <c r="K171" i="4" s="1"/>
  <c r="T171" i="6" s="1"/>
  <c r="AD170" i="6"/>
  <c r="J170" i="6"/>
  <c r="H171" i="6" l="1"/>
  <c r="C170" i="6"/>
  <c r="H171" i="3"/>
  <c r="K171" i="3" s="1"/>
  <c r="S171" i="6" s="1"/>
  <c r="M171" i="5"/>
  <c r="Y171" i="6"/>
  <c r="L171" i="4"/>
  <c r="X171" i="6" s="1"/>
  <c r="B170" i="6"/>
  <c r="H171" i="2"/>
  <c r="K171" i="2" s="1"/>
  <c r="R171" i="6" s="1"/>
  <c r="G171" i="6" l="1"/>
  <c r="L171" i="3"/>
  <c r="AC171" i="6"/>
  <c r="N171" i="5"/>
  <c r="M171" i="4"/>
  <c r="AB171" i="6" s="1"/>
  <c r="F171" i="6"/>
  <c r="L171" i="2"/>
  <c r="G171" i="5" l="1"/>
  <c r="I171" i="5"/>
  <c r="W171" i="6"/>
  <c r="M171" i="3"/>
  <c r="AG171" i="6"/>
  <c r="M171" i="6"/>
  <c r="N171" i="4"/>
  <c r="M171" i="2"/>
  <c r="V171" i="6"/>
  <c r="G176" i="4" l="1"/>
  <c r="I171" i="4"/>
  <c r="AF171" i="6"/>
  <c r="D171" i="6"/>
  <c r="AA171" i="6"/>
  <c r="N171" i="3"/>
  <c r="E171" i="6"/>
  <c r="H172" i="5"/>
  <c r="K172" i="5" s="1"/>
  <c r="U172" i="6" s="1"/>
  <c r="D175" i="6"/>
  <c r="L171" i="6"/>
  <c r="N171" i="2"/>
  <c r="Z171" i="6"/>
  <c r="G171" i="2" l="1"/>
  <c r="I171" i="2"/>
  <c r="G171" i="3"/>
  <c r="I171" i="3"/>
  <c r="AE171" i="6"/>
  <c r="K171" i="6"/>
  <c r="I172" i="6"/>
  <c r="L172" i="5"/>
  <c r="H172" i="4"/>
  <c r="K172" i="4" s="1"/>
  <c r="T172" i="6" s="1"/>
  <c r="AD171" i="6"/>
  <c r="H172" i="6" l="1"/>
  <c r="C171" i="6"/>
  <c r="H172" i="3"/>
  <c r="K172" i="3" s="1"/>
  <c r="S172" i="6" s="1"/>
  <c r="M172" i="5"/>
  <c r="Y172" i="6"/>
  <c r="L172" i="4"/>
  <c r="X172" i="6" s="1"/>
  <c r="J171" i="6"/>
  <c r="B171" i="6"/>
  <c r="H172" i="2"/>
  <c r="K172" i="2" s="1"/>
  <c r="R172" i="6" s="1"/>
  <c r="G172" i="6" l="1"/>
  <c r="L172" i="3"/>
  <c r="N172" i="5"/>
  <c r="AC172" i="6"/>
  <c r="M172" i="4"/>
  <c r="AB172" i="6" s="1"/>
  <c r="F172" i="6"/>
  <c r="L172" i="2"/>
  <c r="G172" i="5" l="1"/>
  <c r="I172" i="5"/>
  <c r="W172" i="6"/>
  <c r="M172" i="3"/>
  <c r="AG172" i="6"/>
  <c r="M172" i="6"/>
  <c r="N172" i="4"/>
  <c r="M172" i="2"/>
  <c r="V172" i="6"/>
  <c r="G177" i="4" l="1"/>
  <c r="I172" i="4"/>
  <c r="L172" i="6" s="1"/>
  <c r="AF172" i="6"/>
  <c r="AA172" i="6"/>
  <c r="N172" i="3"/>
  <c r="E172" i="6"/>
  <c r="H173" i="5"/>
  <c r="K173" i="5" s="1"/>
  <c r="U173" i="6" s="1"/>
  <c r="D176" i="6"/>
  <c r="N172" i="2"/>
  <c r="Z172" i="6"/>
  <c r="G172" i="2" l="1"/>
  <c r="I172" i="2"/>
  <c r="J172" i="6" s="1"/>
  <c r="G172" i="3"/>
  <c r="I172" i="3"/>
  <c r="AE172" i="6"/>
  <c r="K172" i="6"/>
  <c r="I173" i="6"/>
  <c r="L173" i="5"/>
  <c r="H173" i="4"/>
  <c r="K173" i="4" s="1"/>
  <c r="T173" i="6" s="1"/>
  <c r="AD172" i="6"/>
  <c r="H173" i="6" l="1"/>
  <c r="C172" i="6"/>
  <c r="H173" i="3"/>
  <c r="K173" i="3" s="1"/>
  <c r="S173" i="6" s="1"/>
  <c r="Y173" i="6"/>
  <c r="M173" i="5"/>
  <c r="L173" i="4"/>
  <c r="X173" i="6" s="1"/>
  <c r="H173" i="2"/>
  <c r="K173" i="2" s="1"/>
  <c r="R173" i="6" s="1"/>
  <c r="B172" i="6"/>
  <c r="G173" i="6" l="1"/>
  <c r="L173" i="3"/>
  <c r="AC173" i="6"/>
  <c r="N173" i="5"/>
  <c r="M173" i="4"/>
  <c r="AB173" i="6" s="1"/>
  <c r="F173" i="6"/>
  <c r="L173" i="2"/>
  <c r="G173" i="5" l="1"/>
  <c r="I173" i="5"/>
  <c r="W173" i="6"/>
  <c r="M173" i="3"/>
  <c r="AG173" i="6"/>
  <c r="M173" i="6"/>
  <c r="N173" i="4"/>
  <c r="M173" i="2"/>
  <c r="V173" i="6"/>
  <c r="G178" i="4" l="1"/>
  <c r="I173" i="4"/>
  <c r="AF173" i="6"/>
  <c r="AA173" i="6"/>
  <c r="N173" i="3"/>
  <c r="H174" i="5"/>
  <c r="K174" i="5" s="1"/>
  <c r="U174" i="6" s="1"/>
  <c r="E173" i="6"/>
  <c r="L173" i="6"/>
  <c r="N173" i="2"/>
  <c r="Z173" i="6"/>
  <c r="G173" i="2" l="1"/>
  <c r="I173" i="2"/>
  <c r="G173" i="3"/>
  <c r="I173" i="3"/>
  <c r="AE173" i="6"/>
  <c r="K173" i="6"/>
  <c r="L174" i="5"/>
  <c r="I174" i="6"/>
  <c r="H174" i="4"/>
  <c r="K174" i="4" s="1"/>
  <c r="T174" i="6" s="1"/>
  <c r="J173" i="6"/>
  <c r="AD173" i="6"/>
  <c r="H174" i="6" l="1"/>
  <c r="C173" i="6"/>
  <c r="H174" i="3"/>
  <c r="K174" i="3" s="1"/>
  <c r="S174" i="6" s="1"/>
  <c r="Y174" i="6"/>
  <c r="M174" i="5"/>
  <c r="L174" i="4"/>
  <c r="X174" i="6" s="1"/>
  <c r="H174" i="2"/>
  <c r="K174" i="2" s="1"/>
  <c r="R174" i="6" s="1"/>
  <c r="B173" i="6"/>
  <c r="G174" i="6" l="1"/>
  <c r="L174" i="3"/>
  <c r="AC174" i="6"/>
  <c r="N174" i="5"/>
  <c r="M174" i="4"/>
  <c r="AB174" i="6" s="1"/>
  <c r="F174" i="6"/>
  <c r="L174" i="2"/>
  <c r="G174" i="5" l="1"/>
  <c r="I174" i="5"/>
  <c r="W174" i="6"/>
  <c r="M174" i="3"/>
  <c r="AG174" i="6"/>
  <c r="M174" i="6"/>
  <c r="N174" i="4"/>
  <c r="M174" i="2"/>
  <c r="V174" i="6"/>
  <c r="G179" i="4" l="1"/>
  <c r="I174" i="4"/>
  <c r="AF174" i="6"/>
  <c r="D174" i="6"/>
  <c r="AA174" i="6"/>
  <c r="N174" i="3"/>
  <c r="E174" i="6"/>
  <c r="H175" i="5"/>
  <c r="K175" i="5" s="1"/>
  <c r="U175" i="6" s="1"/>
  <c r="D178" i="6"/>
  <c r="L174" i="6"/>
  <c r="N174" i="2"/>
  <c r="Z174" i="6"/>
  <c r="G174" i="2" l="1"/>
  <c r="I174" i="2"/>
  <c r="G174" i="3"/>
  <c r="I174" i="3"/>
  <c r="AE174" i="6"/>
  <c r="K174" i="6"/>
  <c r="L175" i="5"/>
  <c r="I175" i="6"/>
  <c r="H175" i="4"/>
  <c r="K175" i="4" s="1"/>
  <c r="T175" i="6" s="1"/>
  <c r="AD174" i="6"/>
  <c r="H175" i="6" l="1"/>
  <c r="C174" i="6"/>
  <c r="H175" i="3"/>
  <c r="K175" i="3" s="1"/>
  <c r="S175" i="6" s="1"/>
  <c r="M175" i="5"/>
  <c r="Y175" i="6"/>
  <c r="L175" i="4"/>
  <c r="X175" i="6" s="1"/>
  <c r="J174" i="6"/>
  <c r="B174" i="6"/>
  <c r="H175" i="2"/>
  <c r="K175" i="2" s="1"/>
  <c r="R175" i="6" s="1"/>
  <c r="G175" i="6" l="1"/>
  <c r="L175" i="3"/>
  <c r="AC175" i="6"/>
  <c r="N175" i="5"/>
  <c r="M175" i="4"/>
  <c r="AB175" i="6" s="1"/>
  <c r="L175" i="2"/>
  <c r="F175" i="6"/>
  <c r="G175" i="5" l="1"/>
  <c r="I175" i="5"/>
  <c r="W175" i="6"/>
  <c r="M175" i="3"/>
  <c r="AG175" i="6"/>
  <c r="M175" i="6"/>
  <c r="N175" i="4"/>
  <c r="M175" i="2"/>
  <c r="V175" i="6"/>
  <c r="G180" i="4" l="1"/>
  <c r="I175" i="4"/>
  <c r="L175" i="6" s="1"/>
  <c r="AF175" i="6"/>
  <c r="AA175" i="6"/>
  <c r="N175" i="3"/>
  <c r="H176" i="5"/>
  <c r="K176" i="5" s="1"/>
  <c r="U176" i="6" s="1"/>
  <c r="E175" i="6"/>
  <c r="D179" i="6"/>
  <c r="N175" i="2"/>
  <c r="Z175" i="6"/>
  <c r="G175" i="2" l="1"/>
  <c r="I175" i="2"/>
  <c r="G175" i="3"/>
  <c r="I175" i="3"/>
  <c r="AE175" i="6"/>
  <c r="K175" i="6"/>
  <c r="L176" i="5"/>
  <c r="I176" i="6"/>
  <c r="H176" i="4"/>
  <c r="K176" i="4" s="1"/>
  <c r="T176" i="6" s="1"/>
  <c r="AD175" i="6"/>
  <c r="J175" i="6"/>
  <c r="H176" i="6" l="1"/>
  <c r="C175" i="6"/>
  <c r="H176" i="3"/>
  <c r="K176" i="3" s="1"/>
  <c r="S176" i="6" s="1"/>
  <c r="M176" i="5"/>
  <c r="Y176" i="6"/>
  <c r="L176" i="4"/>
  <c r="X176" i="6" s="1"/>
  <c r="B175" i="6"/>
  <c r="H176" i="2"/>
  <c r="K176" i="2" s="1"/>
  <c r="R176" i="6" s="1"/>
  <c r="G176" i="6" l="1"/>
  <c r="L176" i="3"/>
  <c r="AC176" i="6"/>
  <c r="N176" i="5"/>
  <c r="M176" i="4"/>
  <c r="AB176" i="6" s="1"/>
  <c r="L176" i="2"/>
  <c r="F176" i="6"/>
  <c r="G176" i="5" l="1"/>
  <c r="I176" i="5"/>
  <c r="W176" i="6"/>
  <c r="M176" i="3"/>
  <c r="AG176" i="6"/>
  <c r="M176" i="6"/>
  <c r="N176" i="4"/>
  <c r="M176" i="2"/>
  <c r="V176" i="6"/>
  <c r="G181" i="4" l="1"/>
  <c r="I176" i="4"/>
  <c r="AF176" i="6"/>
  <c r="AA176" i="6"/>
  <c r="N176" i="3"/>
  <c r="H177" i="5"/>
  <c r="K177" i="5" s="1"/>
  <c r="U177" i="6" s="1"/>
  <c r="E176" i="6"/>
  <c r="L176" i="6"/>
  <c r="N176" i="2"/>
  <c r="Z176" i="6"/>
  <c r="G176" i="2" l="1"/>
  <c r="I176" i="2"/>
  <c r="G176" i="3"/>
  <c r="I176" i="3"/>
  <c r="AE176" i="6"/>
  <c r="K176" i="6"/>
  <c r="I177" i="6"/>
  <c r="L177" i="5"/>
  <c r="H177" i="4"/>
  <c r="K177" i="4" s="1"/>
  <c r="T177" i="6" s="1"/>
  <c r="AD176" i="6"/>
  <c r="H177" i="6" l="1"/>
  <c r="C176" i="6"/>
  <c r="H177" i="3"/>
  <c r="K177" i="3" s="1"/>
  <c r="S177" i="6" s="1"/>
  <c r="Y177" i="6"/>
  <c r="M177" i="5"/>
  <c r="L177" i="4"/>
  <c r="X177" i="6" s="1"/>
  <c r="J176" i="6"/>
  <c r="B176" i="6"/>
  <c r="H177" i="2"/>
  <c r="K177" i="2" s="1"/>
  <c r="R177" i="6" s="1"/>
  <c r="G177" i="6" l="1"/>
  <c r="L177" i="3"/>
  <c r="N177" i="5"/>
  <c r="AC177" i="6"/>
  <c r="M177" i="4"/>
  <c r="AB177" i="6" s="1"/>
  <c r="F177" i="6"/>
  <c r="L177" i="2"/>
  <c r="G177" i="5" l="1"/>
  <c r="I177" i="5"/>
  <c r="W177" i="6"/>
  <c r="M177" i="3"/>
  <c r="AG177" i="6"/>
  <c r="M177" i="6"/>
  <c r="N177" i="4"/>
  <c r="M177" i="2"/>
  <c r="V177" i="6"/>
  <c r="G182" i="4" l="1"/>
  <c r="I177" i="4"/>
  <c r="L177" i="6" s="1"/>
  <c r="AF177" i="6"/>
  <c r="D177" i="6"/>
  <c r="AA177" i="6"/>
  <c r="N177" i="3"/>
  <c r="H178" i="5"/>
  <c r="K178" i="5" s="1"/>
  <c r="U178" i="6" s="1"/>
  <c r="E177" i="6"/>
  <c r="D181" i="6"/>
  <c r="N177" i="2"/>
  <c r="Z177" i="6"/>
  <c r="G177" i="2" l="1"/>
  <c r="B177" i="6" s="1"/>
  <c r="I177" i="2"/>
  <c r="G177" i="3"/>
  <c r="I177" i="3"/>
  <c r="AE177" i="6"/>
  <c r="K177" i="6"/>
  <c r="I178" i="6"/>
  <c r="L178" i="5"/>
  <c r="H178" i="4"/>
  <c r="K178" i="4" s="1"/>
  <c r="T178" i="6" s="1"/>
  <c r="AD177" i="6"/>
  <c r="H178" i="6" l="1"/>
  <c r="C177" i="6"/>
  <c r="H178" i="3"/>
  <c r="K178" i="3" s="1"/>
  <c r="S178" i="6" s="1"/>
  <c r="Y178" i="6"/>
  <c r="M178" i="5"/>
  <c r="L178" i="4"/>
  <c r="X178" i="6" s="1"/>
  <c r="H178" i="2"/>
  <c r="K178" i="2" s="1"/>
  <c r="R178" i="6" s="1"/>
  <c r="J177" i="6"/>
  <c r="G178" i="6" l="1"/>
  <c r="L178" i="3"/>
  <c r="AC178" i="6"/>
  <c r="N178" i="5"/>
  <c r="M178" i="4"/>
  <c r="AB178" i="6" s="1"/>
  <c r="L178" i="2"/>
  <c r="F178" i="6"/>
  <c r="G178" i="5" l="1"/>
  <c r="I178" i="5"/>
  <c r="W178" i="6"/>
  <c r="M178" i="3"/>
  <c r="AG178" i="6"/>
  <c r="M178" i="6"/>
  <c r="N178" i="4"/>
  <c r="M178" i="2"/>
  <c r="V178" i="6"/>
  <c r="G183" i="4" l="1"/>
  <c r="I178" i="4"/>
  <c r="AF178" i="6"/>
  <c r="AA178" i="6"/>
  <c r="N178" i="3"/>
  <c r="E178" i="6"/>
  <c r="H179" i="5"/>
  <c r="K179" i="5" s="1"/>
  <c r="U179" i="6" s="1"/>
  <c r="L178" i="6"/>
  <c r="N178" i="2"/>
  <c r="Z178" i="6"/>
  <c r="G178" i="2" l="1"/>
  <c r="I178" i="2"/>
  <c r="G178" i="3"/>
  <c r="I178" i="3"/>
  <c r="AE178" i="6"/>
  <c r="K178" i="6"/>
  <c r="I179" i="6"/>
  <c r="L179" i="5"/>
  <c r="H179" i="4"/>
  <c r="K179" i="4" s="1"/>
  <c r="T179" i="6" s="1"/>
  <c r="AD178" i="6"/>
  <c r="H179" i="6" l="1"/>
  <c r="C178" i="6"/>
  <c r="H179" i="3"/>
  <c r="K179" i="3" s="1"/>
  <c r="S179" i="6" s="1"/>
  <c r="M179" i="5"/>
  <c r="Y179" i="6"/>
  <c r="L179" i="4"/>
  <c r="X179" i="6" s="1"/>
  <c r="B178" i="6"/>
  <c r="H179" i="2"/>
  <c r="K179" i="2" s="1"/>
  <c r="R179" i="6" s="1"/>
  <c r="J178" i="6"/>
  <c r="G179" i="6" l="1"/>
  <c r="L179" i="3"/>
  <c r="N179" i="5"/>
  <c r="AC179" i="6"/>
  <c r="M179" i="4"/>
  <c r="AB179" i="6" s="1"/>
  <c r="L179" i="2"/>
  <c r="F179" i="6"/>
  <c r="G179" i="5" l="1"/>
  <c r="I179" i="5"/>
  <c r="W179" i="6"/>
  <c r="M179" i="3"/>
  <c r="AG179" i="6"/>
  <c r="M179" i="6"/>
  <c r="N179" i="4"/>
  <c r="M179" i="2"/>
  <c r="V179" i="6"/>
  <c r="G184" i="4" l="1"/>
  <c r="I179" i="4"/>
  <c r="AF179" i="6"/>
  <c r="AA179" i="6"/>
  <c r="N179" i="3"/>
  <c r="E179" i="6"/>
  <c r="H180" i="5"/>
  <c r="K180" i="5" s="1"/>
  <c r="U180" i="6" s="1"/>
  <c r="L179" i="6"/>
  <c r="N179" i="2"/>
  <c r="Z179" i="6"/>
  <c r="G179" i="2" l="1"/>
  <c r="I179" i="2"/>
  <c r="G179" i="3"/>
  <c r="I179" i="3"/>
  <c r="AE179" i="6"/>
  <c r="K179" i="6"/>
  <c r="L180" i="5"/>
  <c r="I180" i="6"/>
  <c r="H180" i="4"/>
  <c r="K180" i="4" s="1"/>
  <c r="T180" i="6" s="1"/>
  <c r="AD179" i="6"/>
  <c r="J179" i="6"/>
  <c r="H180" i="6" l="1"/>
  <c r="C179" i="6"/>
  <c r="H180" i="3"/>
  <c r="K180" i="3" s="1"/>
  <c r="S180" i="6" s="1"/>
  <c r="M180" i="5"/>
  <c r="Y180" i="6"/>
  <c r="L180" i="4"/>
  <c r="X180" i="6" s="1"/>
  <c r="B179" i="6"/>
  <c r="H180" i="2"/>
  <c r="K180" i="2" s="1"/>
  <c r="R180" i="6" s="1"/>
  <c r="G180" i="6" l="1"/>
  <c r="L180" i="3"/>
  <c r="AC180" i="6"/>
  <c r="N180" i="5"/>
  <c r="M180" i="4"/>
  <c r="AB180" i="6" s="1"/>
  <c r="L180" i="2"/>
  <c r="F180" i="6"/>
  <c r="G180" i="5" l="1"/>
  <c r="I180" i="5"/>
  <c r="M180" i="6" s="1"/>
  <c r="W180" i="6"/>
  <c r="M180" i="3"/>
  <c r="AG180" i="6"/>
  <c r="N180" i="4"/>
  <c r="M180" i="2"/>
  <c r="V180" i="6"/>
  <c r="G185" i="4" l="1"/>
  <c r="I180" i="4"/>
  <c r="L180" i="6" s="1"/>
  <c r="AF180" i="6"/>
  <c r="D180" i="6"/>
  <c r="AA180" i="6"/>
  <c r="N180" i="3"/>
  <c r="H181" i="5"/>
  <c r="K181" i="5" s="1"/>
  <c r="U181" i="6" s="1"/>
  <c r="E180" i="6"/>
  <c r="N180" i="2"/>
  <c r="Z180" i="6"/>
  <c r="G180" i="2" l="1"/>
  <c r="I180" i="2"/>
  <c r="G180" i="3"/>
  <c r="I180" i="3"/>
  <c r="AE180" i="6"/>
  <c r="K180" i="6"/>
  <c r="I181" i="6"/>
  <c r="L181" i="5"/>
  <c r="H181" i="4"/>
  <c r="K181" i="4" s="1"/>
  <c r="T181" i="6" s="1"/>
  <c r="AD180" i="6"/>
  <c r="H181" i="6" l="1"/>
  <c r="C180" i="6"/>
  <c r="H181" i="3"/>
  <c r="K181" i="3" s="1"/>
  <c r="S181" i="6" s="1"/>
  <c r="M181" i="5"/>
  <c r="Y181" i="6"/>
  <c r="L181" i="4"/>
  <c r="X181" i="6" s="1"/>
  <c r="B180" i="6"/>
  <c r="H181" i="2"/>
  <c r="K181" i="2" s="1"/>
  <c r="R181" i="6" s="1"/>
  <c r="J180" i="6"/>
  <c r="G181" i="6" l="1"/>
  <c r="L181" i="3"/>
  <c r="N181" i="5"/>
  <c r="AC181" i="6"/>
  <c r="M181" i="4"/>
  <c r="AB181" i="6" s="1"/>
  <c r="L181" i="2"/>
  <c r="F181" i="6"/>
  <c r="G181" i="5" l="1"/>
  <c r="I181" i="5"/>
  <c r="W181" i="6"/>
  <c r="M181" i="3"/>
  <c r="AG181" i="6"/>
  <c r="M181" i="6"/>
  <c r="N181" i="4"/>
  <c r="M181" i="2"/>
  <c r="V181" i="6"/>
  <c r="G186" i="4" l="1"/>
  <c r="I181" i="4"/>
  <c r="AF181" i="6"/>
  <c r="AA181" i="6"/>
  <c r="N181" i="3"/>
  <c r="H182" i="5"/>
  <c r="K182" i="5" s="1"/>
  <c r="U182" i="6" s="1"/>
  <c r="E181" i="6"/>
  <c r="L181" i="6"/>
  <c r="N181" i="2"/>
  <c r="Z181" i="6"/>
  <c r="G181" i="2" l="1"/>
  <c r="I181" i="2"/>
  <c r="G181" i="3"/>
  <c r="I181" i="3"/>
  <c r="AE181" i="6"/>
  <c r="K181" i="6"/>
  <c r="I182" i="6"/>
  <c r="L182" i="5"/>
  <c r="H182" i="4"/>
  <c r="K182" i="4" s="1"/>
  <c r="T182" i="6" s="1"/>
  <c r="AD181" i="6"/>
  <c r="J181" i="6"/>
  <c r="H182" i="6" l="1"/>
  <c r="C181" i="6"/>
  <c r="H182" i="3"/>
  <c r="K182" i="3" s="1"/>
  <c r="S182" i="6" s="1"/>
  <c r="Y182" i="6"/>
  <c r="M182" i="5"/>
  <c r="L182" i="4"/>
  <c r="X182" i="6" s="1"/>
  <c r="B181" i="6"/>
  <c r="H182" i="2"/>
  <c r="K182" i="2" s="1"/>
  <c r="R182" i="6" s="1"/>
  <c r="G182" i="6" l="1"/>
  <c r="L182" i="3"/>
  <c r="N182" i="5"/>
  <c r="AC182" i="6"/>
  <c r="M182" i="4"/>
  <c r="AB182" i="6" s="1"/>
  <c r="L182" i="2"/>
  <c r="F182" i="6"/>
  <c r="G182" i="5" l="1"/>
  <c r="I182" i="5"/>
  <c r="W182" i="6"/>
  <c r="M182" i="3"/>
  <c r="AG182" i="6"/>
  <c r="M182" i="6"/>
  <c r="N182" i="4"/>
  <c r="M182" i="2"/>
  <c r="V182" i="6"/>
  <c r="G187" i="4" l="1"/>
  <c r="I182" i="4"/>
  <c r="L182" i="6" s="1"/>
  <c r="AF182" i="6"/>
  <c r="D182" i="6"/>
  <c r="AA182" i="6"/>
  <c r="N182" i="3"/>
  <c r="H183" i="5"/>
  <c r="K183" i="5" s="1"/>
  <c r="U183" i="6" s="1"/>
  <c r="E182" i="6"/>
  <c r="N182" i="2"/>
  <c r="Z182" i="6"/>
  <c r="G182" i="2" l="1"/>
  <c r="I182" i="2"/>
  <c r="G182" i="3"/>
  <c r="I182" i="3"/>
  <c r="AE182" i="6"/>
  <c r="K182" i="6"/>
  <c r="I183" i="6"/>
  <c r="L183" i="5"/>
  <c r="H183" i="4"/>
  <c r="K183" i="4" s="1"/>
  <c r="T183" i="6" s="1"/>
  <c r="AD182" i="6"/>
  <c r="J182" i="6"/>
  <c r="H183" i="6" l="1"/>
  <c r="C182" i="6"/>
  <c r="H183" i="3"/>
  <c r="K183" i="3" s="1"/>
  <c r="S183" i="6" s="1"/>
  <c r="Y183" i="6"/>
  <c r="M183" i="5"/>
  <c r="L183" i="4"/>
  <c r="X183" i="6" s="1"/>
  <c r="B182" i="6"/>
  <c r="H183" i="2"/>
  <c r="K183" i="2" s="1"/>
  <c r="R183" i="6" s="1"/>
  <c r="G183" i="6" l="1"/>
  <c r="L183" i="3"/>
  <c r="N183" i="5"/>
  <c r="AC183" i="6"/>
  <c r="M183" i="4"/>
  <c r="AB183" i="6" s="1"/>
  <c r="F183" i="6"/>
  <c r="L183" i="2"/>
  <c r="G183" i="5" l="1"/>
  <c r="I183" i="5"/>
  <c r="W183" i="6"/>
  <c r="M183" i="3"/>
  <c r="AG183" i="6"/>
  <c r="M183" i="6"/>
  <c r="N183" i="4"/>
  <c r="M183" i="2"/>
  <c r="V183" i="6"/>
  <c r="G188" i="4" l="1"/>
  <c r="I183" i="4"/>
  <c r="AF183" i="6"/>
  <c r="D183" i="6"/>
  <c r="AA183" i="6"/>
  <c r="N183" i="3"/>
  <c r="E183" i="6"/>
  <c r="H184" i="5"/>
  <c r="K184" i="5" s="1"/>
  <c r="U184" i="6" s="1"/>
  <c r="D187" i="6"/>
  <c r="L183" i="6"/>
  <c r="N183" i="2"/>
  <c r="Z183" i="6"/>
  <c r="G183" i="2" l="1"/>
  <c r="I183" i="2"/>
  <c r="G183" i="3"/>
  <c r="I183" i="3"/>
  <c r="AE183" i="6"/>
  <c r="K183" i="6"/>
  <c r="L184" i="5"/>
  <c r="I184" i="6"/>
  <c r="H184" i="4"/>
  <c r="K184" i="4" s="1"/>
  <c r="T184" i="6" s="1"/>
  <c r="AD183" i="6"/>
  <c r="J183" i="6"/>
  <c r="H184" i="6" l="1"/>
  <c r="C183" i="6"/>
  <c r="H184" i="3"/>
  <c r="K184" i="3" s="1"/>
  <c r="S184" i="6" s="1"/>
  <c r="M184" i="5"/>
  <c r="Y184" i="6"/>
  <c r="L184" i="4"/>
  <c r="X184" i="6" s="1"/>
  <c r="B183" i="6"/>
  <c r="H184" i="2"/>
  <c r="K184" i="2" s="1"/>
  <c r="R184" i="6" s="1"/>
  <c r="G184" i="6" l="1"/>
  <c r="L184" i="3"/>
  <c r="N184" i="5"/>
  <c r="AC184" i="6"/>
  <c r="M184" i="4"/>
  <c r="AB184" i="6" s="1"/>
  <c r="F184" i="6"/>
  <c r="L184" i="2"/>
  <c r="G184" i="5" l="1"/>
  <c r="I184" i="5"/>
  <c r="W184" i="6"/>
  <c r="M184" i="3"/>
  <c r="AG184" i="6"/>
  <c r="M184" i="6"/>
  <c r="N184" i="4"/>
  <c r="M184" i="2"/>
  <c r="V184" i="6"/>
  <c r="G189" i="4" l="1"/>
  <c r="I184" i="4"/>
  <c r="AF184" i="6"/>
  <c r="D184" i="6"/>
  <c r="AA184" i="6"/>
  <c r="N184" i="3"/>
  <c r="H185" i="5"/>
  <c r="K185" i="5" s="1"/>
  <c r="U185" i="6" s="1"/>
  <c r="E184" i="6"/>
  <c r="D188" i="6"/>
  <c r="L184" i="6"/>
  <c r="N184" i="2"/>
  <c r="Z184" i="6"/>
  <c r="G184" i="2" l="1"/>
  <c r="I184" i="2"/>
  <c r="G184" i="3"/>
  <c r="I184" i="3"/>
  <c r="AE184" i="6"/>
  <c r="K184" i="6"/>
  <c r="L185" i="5"/>
  <c r="I185" i="6"/>
  <c r="H185" i="4"/>
  <c r="K185" i="4" s="1"/>
  <c r="T185" i="6" s="1"/>
  <c r="AD184" i="6"/>
  <c r="H185" i="6" l="1"/>
  <c r="C184" i="6"/>
  <c r="H185" i="3"/>
  <c r="K185" i="3" s="1"/>
  <c r="S185" i="6" s="1"/>
  <c r="Y185" i="6"/>
  <c r="M185" i="5"/>
  <c r="L185" i="4"/>
  <c r="X185" i="6" s="1"/>
  <c r="B184" i="6"/>
  <c r="H185" i="2"/>
  <c r="K185" i="2" s="1"/>
  <c r="R185" i="6" s="1"/>
  <c r="J184" i="6"/>
  <c r="G185" i="6" l="1"/>
  <c r="L185" i="3"/>
  <c r="AC185" i="6"/>
  <c r="N185" i="5"/>
  <c r="M185" i="4"/>
  <c r="AB185" i="6" s="1"/>
  <c r="L185" i="2"/>
  <c r="F185" i="6"/>
  <c r="G185" i="5" l="1"/>
  <c r="I185" i="5"/>
  <c r="W185" i="6"/>
  <c r="M185" i="3"/>
  <c r="AG185" i="6"/>
  <c r="M185" i="6"/>
  <c r="N185" i="4"/>
  <c r="M185" i="2"/>
  <c r="V185" i="6"/>
  <c r="G190" i="4" l="1"/>
  <c r="I185" i="4"/>
  <c r="L185" i="6" s="1"/>
  <c r="AF185" i="6"/>
  <c r="D185" i="6"/>
  <c r="AA185" i="6"/>
  <c r="N185" i="3"/>
  <c r="H186" i="5"/>
  <c r="K186" i="5" s="1"/>
  <c r="U186" i="6" s="1"/>
  <c r="E185" i="6"/>
  <c r="N185" i="2"/>
  <c r="Z185" i="6"/>
  <c r="G185" i="2" l="1"/>
  <c r="I185" i="2"/>
  <c r="G185" i="3"/>
  <c r="I185" i="3"/>
  <c r="AE185" i="6"/>
  <c r="K185" i="6"/>
  <c r="L186" i="5"/>
  <c r="I186" i="6"/>
  <c r="H186" i="4"/>
  <c r="K186" i="4" s="1"/>
  <c r="T186" i="6" s="1"/>
  <c r="AD185" i="6"/>
  <c r="J185" i="6"/>
  <c r="H186" i="6" l="1"/>
  <c r="C185" i="6"/>
  <c r="H186" i="3"/>
  <c r="K186" i="3" s="1"/>
  <c r="S186" i="6" s="1"/>
  <c r="M186" i="5"/>
  <c r="Y186" i="6"/>
  <c r="L186" i="4"/>
  <c r="X186" i="6" s="1"/>
  <c r="B185" i="6"/>
  <c r="H186" i="2"/>
  <c r="K186" i="2" s="1"/>
  <c r="R186" i="6" s="1"/>
  <c r="G186" i="6" l="1"/>
  <c r="L186" i="3"/>
  <c r="N186" i="5"/>
  <c r="AC186" i="6"/>
  <c r="M186" i="4"/>
  <c r="AB186" i="6" s="1"/>
  <c r="F186" i="6"/>
  <c r="L186" i="2"/>
  <c r="G186" i="5" l="1"/>
  <c r="I186" i="5"/>
  <c r="W186" i="6"/>
  <c r="M186" i="3"/>
  <c r="AG186" i="6"/>
  <c r="M186" i="6"/>
  <c r="N186" i="4"/>
  <c r="M186" i="2"/>
  <c r="V186" i="6"/>
  <c r="G191" i="4" l="1"/>
  <c r="I186" i="4"/>
  <c r="AF186" i="6"/>
  <c r="D186" i="6"/>
  <c r="AA186" i="6"/>
  <c r="N186" i="3"/>
  <c r="H187" i="5"/>
  <c r="K187" i="5" s="1"/>
  <c r="U187" i="6" s="1"/>
  <c r="E186" i="6"/>
  <c r="D190" i="6"/>
  <c r="L186" i="6"/>
  <c r="N186" i="2"/>
  <c r="Z186" i="6"/>
  <c r="G186" i="2" l="1"/>
  <c r="I186" i="2"/>
  <c r="G186" i="3"/>
  <c r="I186" i="3"/>
  <c r="AE186" i="6"/>
  <c r="K186" i="6"/>
  <c r="I187" i="6"/>
  <c r="L187" i="5"/>
  <c r="H187" i="4"/>
  <c r="K187" i="4" s="1"/>
  <c r="T187" i="6" s="1"/>
  <c r="J186" i="6"/>
  <c r="AD186" i="6"/>
  <c r="H187" i="6" l="1"/>
  <c r="C186" i="6"/>
  <c r="H187" i="3"/>
  <c r="K187" i="3" s="1"/>
  <c r="S187" i="6" s="1"/>
  <c r="Y187" i="6"/>
  <c r="M187" i="5"/>
  <c r="L187" i="4"/>
  <c r="X187" i="6" s="1"/>
  <c r="H187" i="2"/>
  <c r="K187" i="2" s="1"/>
  <c r="R187" i="6" s="1"/>
  <c r="B186" i="6"/>
  <c r="G187" i="6" l="1"/>
  <c r="L187" i="3"/>
  <c r="N187" i="5"/>
  <c r="AC187" i="6"/>
  <c r="M187" i="4"/>
  <c r="AB187" i="6" s="1"/>
  <c r="F187" i="6"/>
  <c r="L187" i="2"/>
  <c r="G187" i="5" l="1"/>
  <c r="I187" i="5"/>
  <c r="W187" i="6"/>
  <c r="M187" i="3"/>
  <c r="AG187" i="6"/>
  <c r="M187" i="6"/>
  <c r="N187" i="4"/>
  <c r="M187" i="2"/>
  <c r="V187" i="6"/>
  <c r="G192" i="4" l="1"/>
  <c r="I187" i="4"/>
  <c r="L187" i="6" s="1"/>
  <c r="AF187" i="6"/>
  <c r="AA187" i="6"/>
  <c r="N187" i="3"/>
  <c r="E187" i="6"/>
  <c r="H188" i="5"/>
  <c r="K188" i="5" s="1"/>
  <c r="U188" i="6" s="1"/>
  <c r="D191" i="6"/>
  <c r="N187" i="2"/>
  <c r="Z187" i="6"/>
  <c r="G187" i="2" l="1"/>
  <c r="I187" i="2"/>
  <c r="G187" i="3"/>
  <c r="I187" i="3"/>
  <c r="AE187" i="6"/>
  <c r="K187" i="6"/>
  <c r="L188" i="5"/>
  <c r="I188" i="6"/>
  <c r="H188" i="4"/>
  <c r="K188" i="4" s="1"/>
  <c r="T188" i="6" s="1"/>
  <c r="AD187" i="6"/>
  <c r="J187" i="6"/>
  <c r="H188" i="6" l="1"/>
  <c r="C187" i="6"/>
  <c r="H188" i="3"/>
  <c r="K188" i="3" s="1"/>
  <c r="S188" i="6" s="1"/>
  <c r="M188" i="5"/>
  <c r="Y188" i="6"/>
  <c r="L188" i="4"/>
  <c r="X188" i="6" s="1"/>
  <c r="B187" i="6"/>
  <c r="H188" i="2"/>
  <c r="K188" i="2" s="1"/>
  <c r="R188" i="6" s="1"/>
  <c r="G188" i="6" l="1"/>
  <c r="L188" i="3"/>
  <c r="N188" i="5"/>
  <c r="AC188" i="6"/>
  <c r="M188" i="4"/>
  <c r="AB188" i="6" s="1"/>
  <c r="F188" i="6"/>
  <c r="L188" i="2"/>
  <c r="G188" i="5" l="1"/>
  <c r="I188" i="5"/>
  <c r="W188" i="6"/>
  <c r="M188" i="3"/>
  <c r="AG188" i="6"/>
  <c r="M188" i="6"/>
  <c r="N188" i="4"/>
  <c r="M188" i="2"/>
  <c r="V188" i="6"/>
  <c r="G193" i="4" l="1"/>
  <c r="I188" i="4"/>
  <c r="AF188" i="6"/>
  <c r="AA188" i="6"/>
  <c r="N188" i="3"/>
  <c r="H189" i="5"/>
  <c r="K189" i="5" s="1"/>
  <c r="U189" i="6" s="1"/>
  <c r="E188" i="6"/>
  <c r="L188" i="6"/>
  <c r="N188" i="2"/>
  <c r="Z188" i="6"/>
  <c r="G188" i="2" l="1"/>
  <c r="I188" i="2"/>
  <c r="G188" i="3"/>
  <c r="I188" i="3"/>
  <c r="AE188" i="6"/>
  <c r="K188" i="6"/>
  <c r="I189" i="6"/>
  <c r="L189" i="5"/>
  <c r="H189" i="4"/>
  <c r="K189" i="4" s="1"/>
  <c r="T189" i="6" s="1"/>
  <c r="AD188" i="6"/>
  <c r="H189" i="6" l="1"/>
  <c r="C188" i="6"/>
  <c r="H189" i="3"/>
  <c r="K189" i="3" s="1"/>
  <c r="S189" i="6" s="1"/>
  <c r="M189" i="5"/>
  <c r="Y189" i="6"/>
  <c r="L189" i="4"/>
  <c r="X189" i="6" s="1"/>
  <c r="B188" i="6"/>
  <c r="H189" i="2"/>
  <c r="K189" i="2" s="1"/>
  <c r="R189" i="6" s="1"/>
  <c r="J188" i="6"/>
  <c r="G189" i="6" l="1"/>
  <c r="L189" i="3"/>
  <c r="AC189" i="6"/>
  <c r="N189" i="5"/>
  <c r="M189" i="4"/>
  <c r="AB189" i="6" s="1"/>
  <c r="F189" i="6"/>
  <c r="L189" i="2"/>
  <c r="G189" i="5" l="1"/>
  <c r="I189" i="5"/>
  <c r="W189" i="6"/>
  <c r="M189" i="3"/>
  <c r="AG189" i="6"/>
  <c r="M189" i="6"/>
  <c r="N189" i="4"/>
  <c r="M189" i="2"/>
  <c r="V189" i="6"/>
  <c r="G194" i="4" l="1"/>
  <c r="I189" i="4"/>
  <c r="AF189" i="6"/>
  <c r="D189" i="6"/>
  <c r="AA189" i="6"/>
  <c r="N189" i="3"/>
  <c r="E189" i="6"/>
  <c r="H190" i="5"/>
  <c r="K190" i="5" s="1"/>
  <c r="U190" i="6" s="1"/>
  <c r="D193" i="6"/>
  <c r="L189" i="6"/>
  <c r="N189" i="2"/>
  <c r="Z189" i="6"/>
  <c r="G189" i="2" l="1"/>
  <c r="I189" i="2"/>
  <c r="G189" i="3"/>
  <c r="I189" i="3"/>
  <c r="AE189" i="6"/>
  <c r="K189" i="6"/>
  <c r="I190" i="6"/>
  <c r="L190" i="5"/>
  <c r="H190" i="4"/>
  <c r="K190" i="4" s="1"/>
  <c r="T190" i="6" s="1"/>
  <c r="J189" i="6"/>
  <c r="AD189" i="6"/>
  <c r="H190" i="6" l="1"/>
  <c r="C189" i="6"/>
  <c r="H190" i="3"/>
  <c r="K190" i="3" s="1"/>
  <c r="S190" i="6" s="1"/>
  <c r="Y190" i="6"/>
  <c r="M190" i="5"/>
  <c r="L190" i="4"/>
  <c r="X190" i="6" s="1"/>
  <c r="H190" i="2"/>
  <c r="K190" i="2" s="1"/>
  <c r="R190" i="6" s="1"/>
  <c r="B189" i="6"/>
  <c r="G190" i="6" l="1"/>
  <c r="L190" i="3"/>
  <c r="AC190" i="6"/>
  <c r="N190" i="5"/>
  <c r="M190" i="4"/>
  <c r="AB190" i="6" s="1"/>
  <c r="F190" i="6"/>
  <c r="L190" i="2"/>
  <c r="G190" i="5" l="1"/>
  <c r="I190" i="5"/>
  <c r="W190" i="6"/>
  <c r="M190" i="3"/>
  <c r="AG190" i="6"/>
  <c r="M190" i="6"/>
  <c r="N190" i="4"/>
  <c r="M190" i="2"/>
  <c r="V190" i="6"/>
  <c r="G195" i="4" l="1"/>
  <c r="I190" i="4"/>
  <c r="L190" i="6" s="1"/>
  <c r="AF190" i="6"/>
  <c r="AA190" i="6"/>
  <c r="N190" i="3"/>
  <c r="E190" i="6"/>
  <c r="H191" i="5"/>
  <c r="K191" i="5" s="1"/>
  <c r="U191" i="6" s="1"/>
  <c r="D194" i="6"/>
  <c r="N190" i="2"/>
  <c r="Z190" i="6"/>
  <c r="G190" i="2" l="1"/>
  <c r="I190" i="2"/>
  <c r="J190" i="6" s="1"/>
  <c r="G190" i="3"/>
  <c r="I190" i="3"/>
  <c r="AE190" i="6"/>
  <c r="K190" i="6"/>
  <c r="L191" i="5"/>
  <c r="I191" i="6"/>
  <c r="H191" i="4"/>
  <c r="K191" i="4" s="1"/>
  <c r="T191" i="6" s="1"/>
  <c r="AD190" i="6"/>
  <c r="H191" i="6" l="1"/>
  <c r="C190" i="6"/>
  <c r="H191" i="3"/>
  <c r="K191" i="3" s="1"/>
  <c r="S191" i="6" s="1"/>
  <c r="Y191" i="6"/>
  <c r="M191" i="5"/>
  <c r="L191" i="4"/>
  <c r="X191" i="6" s="1"/>
  <c r="B190" i="6"/>
  <c r="H191" i="2"/>
  <c r="K191" i="2" s="1"/>
  <c r="R191" i="6" s="1"/>
  <c r="G191" i="6" l="1"/>
  <c r="L191" i="3"/>
  <c r="N191" i="5"/>
  <c r="AC191" i="6"/>
  <c r="M191" i="4"/>
  <c r="AB191" i="6" s="1"/>
  <c r="L191" i="2"/>
  <c r="F191" i="6"/>
  <c r="G191" i="5" l="1"/>
  <c r="I191" i="5"/>
  <c r="W191" i="6"/>
  <c r="M191" i="3"/>
  <c r="AG191" i="6"/>
  <c r="M191" i="6"/>
  <c r="N191" i="4"/>
  <c r="M191" i="2"/>
  <c r="V191" i="6"/>
  <c r="G196" i="4" l="1"/>
  <c r="I191" i="4"/>
  <c r="AF191" i="6"/>
  <c r="AA191" i="6"/>
  <c r="N191" i="3"/>
  <c r="E191" i="6"/>
  <c r="H192" i="5"/>
  <c r="K192" i="5" s="1"/>
  <c r="U192" i="6" s="1"/>
  <c r="L191" i="6"/>
  <c r="N191" i="2"/>
  <c r="Z191" i="6"/>
  <c r="G191" i="2" l="1"/>
  <c r="I191" i="2"/>
  <c r="G191" i="3"/>
  <c r="I191" i="3"/>
  <c r="K191" i="6" s="1"/>
  <c r="AE191" i="6"/>
  <c r="I192" i="6"/>
  <c r="L192" i="5"/>
  <c r="H192" i="4"/>
  <c r="K192" i="4" s="1"/>
  <c r="T192" i="6" s="1"/>
  <c r="AD191" i="6"/>
  <c r="J191" i="6"/>
  <c r="H192" i="6" l="1"/>
  <c r="C191" i="6"/>
  <c r="H192" i="3"/>
  <c r="K192" i="3" s="1"/>
  <c r="S192" i="6" s="1"/>
  <c r="Y192" i="6"/>
  <c r="M192" i="5"/>
  <c r="L192" i="4"/>
  <c r="X192" i="6" s="1"/>
  <c r="B191" i="6"/>
  <c r="H192" i="2"/>
  <c r="K192" i="2" s="1"/>
  <c r="R192" i="6" s="1"/>
  <c r="G192" i="6" l="1"/>
  <c r="L192" i="3"/>
  <c r="N192" i="5"/>
  <c r="AC192" i="6"/>
  <c r="M192" i="4"/>
  <c r="AB192" i="6" s="1"/>
  <c r="L192" i="2"/>
  <c r="F192" i="6"/>
  <c r="G192" i="5" l="1"/>
  <c r="I192" i="5"/>
  <c r="W192" i="6"/>
  <c r="M192" i="3"/>
  <c r="AG192" i="6"/>
  <c r="M192" i="6"/>
  <c r="N192" i="4"/>
  <c r="M192" i="2"/>
  <c r="V192" i="6"/>
  <c r="G197" i="4" l="1"/>
  <c r="I192" i="4"/>
  <c r="AF192" i="6"/>
  <c r="D192" i="6"/>
  <c r="AA192" i="6"/>
  <c r="N192" i="3"/>
  <c r="H193" i="5"/>
  <c r="K193" i="5" s="1"/>
  <c r="U193" i="6" s="1"/>
  <c r="E192" i="6"/>
  <c r="D196" i="6"/>
  <c r="L192" i="6"/>
  <c r="N192" i="2"/>
  <c r="Z192" i="6"/>
  <c r="G192" i="2" l="1"/>
  <c r="I192" i="2"/>
  <c r="G192" i="3"/>
  <c r="I192" i="3"/>
  <c r="AE192" i="6"/>
  <c r="K192" i="6"/>
  <c r="I193" i="6"/>
  <c r="L193" i="5"/>
  <c r="H193" i="4"/>
  <c r="K193" i="4" s="1"/>
  <c r="T193" i="6" s="1"/>
  <c r="AD192" i="6"/>
  <c r="J192" i="6"/>
  <c r="H193" i="6" l="1"/>
  <c r="C192" i="6"/>
  <c r="H193" i="3"/>
  <c r="K193" i="3" s="1"/>
  <c r="S193" i="6" s="1"/>
  <c r="M193" i="5"/>
  <c r="Y193" i="6"/>
  <c r="L193" i="4"/>
  <c r="X193" i="6" s="1"/>
  <c r="B192" i="6"/>
  <c r="H193" i="2"/>
  <c r="K193" i="2" s="1"/>
  <c r="R193" i="6" s="1"/>
  <c r="G193" i="6" l="1"/>
  <c r="L193" i="3"/>
  <c r="AC193" i="6"/>
  <c r="N193" i="5"/>
  <c r="M193" i="4"/>
  <c r="AB193" i="6" s="1"/>
  <c r="F193" i="6"/>
  <c r="L193" i="2"/>
  <c r="G193" i="5" l="1"/>
  <c r="I193" i="5"/>
  <c r="W193" i="6"/>
  <c r="M193" i="3"/>
  <c r="AG193" i="6"/>
  <c r="M193" i="6"/>
  <c r="N193" i="4"/>
  <c r="M193" i="2"/>
  <c r="V193" i="6"/>
  <c r="G198" i="4" l="1"/>
  <c r="I193" i="4"/>
  <c r="L193" i="6" s="1"/>
  <c r="AF193" i="6"/>
  <c r="AA193" i="6"/>
  <c r="N193" i="3"/>
  <c r="H194" i="5"/>
  <c r="K194" i="5" s="1"/>
  <c r="U194" i="6" s="1"/>
  <c r="E193" i="6"/>
  <c r="D197" i="6"/>
  <c r="N193" i="2"/>
  <c r="Z193" i="6"/>
  <c r="G193" i="2" l="1"/>
  <c r="I193" i="2"/>
  <c r="G193" i="3"/>
  <c r="I193" i="3"/>
  <c r="AE193" i="6"/>
  <c r="K193" i="6"/>
  <c r="I194" i="6"/>
  <c r="L194" i="5"/>
  <c r="H194" i="4"/>
  <c r="K194" i="4" s="1"/>
  <c r="T194" i="6" s="1"/>
  <c r="AD193" i="6"/>
  <c r="J193" i="6"/>
  <c r="H194" i="6" l="1"/>
  <c r="C193" i="6"/>
  <c r="H194" i="3"/>
  <c r="K194" i="3" s="1"/>
  <c r="S194" i="6" s="1"/>
  <c r="Y194" i="6"/>
  <c r="M194" i="5"/>
  <c r="L194" i="4"/>
  <c r="X194" i="6" s="1"/>
  <c r="B193" i="6"/>
  <c r="H194" i="2"/>
  <c r="K194" i="2" s="1"/>
  <c r="R194" i="6" s="1"/>
  <c r="G194" i="6" l="1"/>
  <c r="L194" i="3"/>
  <c r="N194" i="5"/>
  <c r="AC194" i="6"/>
  <c r="M194" i="4"/>
  <c r="AB194" i="6" s="1"/>
  <c r="F194" i="6"/>
  <c r="L194" i="2"/>
  <c r="G194" i="5" l="1"/>
  <c r="I194" i="5"/>
  <c r="W194" i="6"/>
  <c r="M194" i="3"/>
  <c r="AG194" i="6"/>
  <c r="M194" i="6"/>
  <c r="N194" i="4"/>
  <c r="M194" i="2"/>
  <c r="V194" i="6"/>
  <c r="G199" i="4" l="1"/>
  <c r="I194" i="4"/>
  <c r="AF194" i="6"/>
  <c r="AA194" i="6"/>
  <c r="N194" i="3"/>
  <c r="H195" i="5"/>
  <c r="K195" i="5" s="1"/>
  <c r="U195" i="6" s="1"/>
  <c r="E194" i="6"/>
  <c r="L194" i="6"/>
  <c r="N194" i="2"/>
  <c r="Z194" i="6"/>
  <c r="G194" i="2" l="1"/>
  <c r="I194" i="2"/>
  <c r="G194" i="3"/>
  <c r="I194" i="3"/>
  <c r="AE194" i="6"/>
  <c r="K194" i="6"/>
  <c r="L195" i="5"/>
  <c r="I195" i="6"/>
  <c r="H195" i="4"/>
  <c r="K195" i="4" s="1"/>
  <c r="T195" i="6" s="1"/>
  <c r="AD194" i="6"/>
  <c r="J194" i="6"/>
  <c r="H195" i="6" l="1"/>
  <c r="C194" i="6"/>
  <c r="H195" i="3"/>
  <c r="K195" i="3" s="1"/>
  <c r="S195" i="6" s="1"/>
  <c r="Y195" i="6"/>
  <c r="M195" i="5"/>
  <c r="L195" i="4"/>
  <c r="X195" i="6" s="1"/>
  <c r="B194" i="6"/>
  <c r="H195" i="2"/>
  <c r="K195" i="2" s="1"/>
  <c r="R195" i="6" s="1"/>
  <c r="G195" i="6" l="1"/>
  <c r="L195" i="3"/>
  <c r="AC195" i="6"/>
  <c r="N195" i="5"/>
  <c r="M195" i="4"/>
  <c r="AB195" i="6" s="1"/>
  <c r="F195" i="6"/>
  <c r="L195" i="2"/>
  <c r="G195" i="5" l="1"/>
  <c r="I195" i="5"/>
  <c r="W195" i="6"/>
  <c r="M195" i="3"/>
  <c r="AG195" i="6"/>
  <c r="M195" i="6"/>
  <c r="N195" i="4"/>
  <c r="M195" i="2"/>
  <c r="V195" i="6"/>
  <c r="G200" i="4" l="1"/>
  <c r="I195" i="4"/>
  <c r="AF195" i="6"/>
  <c r="D195" i="6"/>
  <c r="AA195" i="6"/>
  <c r="N195" i="3"/>
  <c r="E195" i="6"/>
  <c r="H196" i="5"/>
  <c r="K196" i="5" s="1"/>
  <c r="U196" i="6" s="1"/>
  <c r="D199" i="6"/>
  <c r="L195" i="6"/>
  <c r="N195" i="2"/>
  <c r="Z195" i="6"/>
  <c r="G195" i="2" l="1"/>
  <c r="I195" i="2"/>
  <c r="G195" i="3"/>
  <c r="I195" i="3"/>
  <c r="AE195" i="6"/>
  <c r="K195" i="6"/>
  <c r="L196" i="5"/>
  <c r="I196" i="6"/>
  <c r="H196" i="4"/>
  <c r="K196" i="4" s="1"/>
  <c r="T196" i="6" s="1"/>
  <c r="AD195" i="6"/>
  <c r="J195" i="6"/>
  <c r="H196" i="6" l="1"/>
  <c r="C195" i="6"/>
  <c r="H196" i="3"/>
  <c r="K196" i="3" s="1"/>
  <c r="S196" i="6" s="1"/>
  <c r="M196" i="5"/>
  <c r="Y196" i="6"/>
  <c r="L196" i="4"/>
  <c r="X196" i="6" s="1"/>
  <c r="B195" i="6"/>
  <c r="H196" i="2"/>
  <c r="K196" i="2" s="1"/>
  <c r="R196" i="6" s="1"/>
  <c r="G196" i="6" l="1"/>
  <c r="L196" i="3"/>
  <c r="AC196" i="6"/>
  <c r="N196" i="5"/>
  <c r="M196" i="4"/>
  <c r="AB196" i="6" s="1"/>
  <c r="F196" i="6"/>
  <c r="L196" i="2"/>
  <c r="G196" i="5" l="1"/>
  <c r="I196" i="5"/>
  <c r="W196" i="6"/>
  <c r="M196" i="3"/>
  <c r="AG196" i="6"/>
  <c r="M196" i="6"/>
  <c r="N196" i="4"/>
  <c r="M196" i="2"/>
  <c r="V196" i="6"/>
  <c r="G201" i="4" l="1"/>
  <c r="I196" i="4"/>
  <c r="L196" i="6" s="1"/>
  <c r="AF196" i="6"/>
  <c r="AA196" i="6"/>
  <c r="N196" i="3"/>
  <c r="H197" i="5"/>
  <c r="K197" i="5" s="1"/>
  <c r="U197" i="6" s="1"/>
  <c r="E196" i="6"/>
  <c r="D200" i="6"/>
  <c r="N196" i="2"/>
  <c r="Z196" i="6"/>
  <c r="G196" i="2" l="1"/>
  <c r="I196" i="2"/>
  <c r="G196" i="3"/>
  <c r="I196" i="3"/>
  <c r="AE196" i="6"/>
  <c r="K196" i="6"/>
  <c r="I197" i="6"/>
  <c r="L197" i="5"/>
  <c r="H197" i="4"/>
  <c r="K197" i="4" s="1"/>
  <c r="T197" i="6" s="1"/>
  <c r="AD196" i="6"/>
  <c r="J196" i="6"/>
  <c r="H197" i="6" l="1"/>
  <c r="C196" i="6"/>
  <c r="H197" i="3"/>
  <c r="K197" i="3" s="1"/>
  <c r="S197" i="6" s="1"/>
  <c r="M197" i="5"/>
  <c r="Y197" i="6"/>
  <c r="L197" i="4"/>
  <c r="X197" i="6" s="1"/>
  <c r="B196" i="6"/>
  <c r="H197" i="2"/>
  <c r="K197" i="2" s="1"/>
  <c r="R197" i="6" s="1"/>
  <c r="G197" i="6" l="1"/>
  <c r="L197" i="3"/>
  <c r="N197" i="5"/>
  <c r="AC197" i="6"/>
  <c r="M197" i="4"/>
  <c r="AB197" i="6" s="1"/>
  <c r="F197" i="6"/>
  <c r="L197" i="2"/>
  <c r="G197" i="5" l="1"/>
  <c r="I197" i="5"/>
  <c r="W197" i="6"/>
  <c r="M197" i="3"/>
  <c r="AG197" i="6"/>
  <c r="M197" i="6"/>
  <c r="N197" i="4"/>
  <c r="M197" i="2"/>
  <c r="V197" i="6"/>
  <c r="G202" i="4" l="1"/>
  <c r="I197" i="4"/>
  <c r="AF197" i="6"/>
  <c r="AA197" i="6"/>
  <c r="N197" i="3"/>
  <c r="E197" i="6"/>
  <c r="H198" i="5"/>
  <c r="K198" i="5" s="1"/>
  <c r="U198" i="6" s="1"/>
  <c r="L197" i="6"/>
  <c r="N197" i="2"/>
  <c r="Z197" i="6"/>
  <c r="G197" i="2" l="1"/>
  <c r="I197" i="2"/>
  <c r="G197" i="3"/>
  <c r="I197" i="3"/>
  <c r="AE197" i="6"/>
  <c r="K197" i="6"/>
  <c r="I198" i="6"/>
  <c r="L198" i="5"/>
  <c r="H198" i="4"/>
  <c r="K198" i="4" s="1"/>
  <c r="T198" i="6" s="1"/>
  <c r="AD197" i="6"/>
  <c r="J197" i="6"/>
  <c r="H198" i="6" l="1"/>
  <c r="C197" i="6"/>
  <c r="H198" i="3"/>
  <c r="K198" i="3" s="1"/>
  <c r="S198" i="6" s="1"/>
  <c r="M198" i="5"/>
  <c r="Y198" i="6"/>
  <c r="L198" i="4"/>
  <c r="X198" i="6" s="1"/>
  <c r="B197" i="6"/>
  <c r="H198" i="2"/>
  <c r="K198" i="2" s="1"/>
  <c r="R198" i="6" s="1"/>
  <c r="G198" i="6" l="1"/>
  <c r="L198" i="3"/>
  <c r="AC198" i="6"/>
  <c r="N198" i="5"/>
  <c r="M198" i="4"/>
  <c r="AB198" i="6" s="1"/>
  <c r="F198" i="6"/>
  <c r="L198" i="2"/>
  <c r="G198" i="5" l="1"/>
  <c r="I198" i="5"/>
  <c r="W198" i="6"/>
  <c r="M198" i="3"/>
  <c r="AG198" i="6"/>
  <c r="M198" i="6"/>
  <c r="N198" i="4"/>
  <c r="I198" i="4" s="1"/>
  <c r="M198" i="2"/>
  <c r="V198" i="6"/>
  <c r="AF198" i="6" l="1"/>
  <c r="D198" i="6"/>
  <c r="AA198" i="6"/>
  <c r="N198" i="3"/>
  <c r="H199" i="5"/>
  <c r="K199" i="5" s="1"/>
  <c r="U199" i="6" s="1"/>
  <c r="E198" i="6"/>
  <c r="D202" i="6"/>
  <c r="L198" i="6"/>
  <c r="N198" i="2"/>
  <c r="Z198" i="6"/>
  <c r="G198" i="2" l="1"/>
  <c r="I198" i="2"/>
  <c r="G198" i="3"/>
  <c r="I198" i="3"/>
  <c r="AE198" i="6"/>
  <c r="K198" i="6"/>
  <c r="I199" i="6"/>
  <c r="L199" i="5"/>
  <c r="H199" i="4"/>
  <c r="K199" i="4" s="1"/>
  <c r="T199" i="6" s="1"/>
  <c r="AD198" i="6"/>
  <c r="J198" i="6"/>
  <c r="H199" i="6" l="1"/>
  <c r="C198" i="6"/>
  <c r="H199" i="3"/>
  <c r="K199" i="3" s="1"/>
  <c r="S199" i="6" s="1"/>
  <c r="Y199" i="6"/>
  <c r="M199" i="5"/>
  <c r="L199" i="4"/>
  <c r="X199" i="6" s="1"/>
  <c r="B198" i="6"/>
  <c r="H199" i="2"/>
  <c r="K199" i="2" s="1"/>
  <c r="R199" i="6" s="1"/>
  <c r="G199" i="6" l="1"/>
  <c r="L199" i="3"/>
  <c r="AC199" i="6"/>
  <c r="N199" i="5"/>
  <c r="M199" i="4"/>
  <c r="AB199" i="6" s="1"/>
  <c r="F199" i="6"/>
  <c r="L199" i="2"/>
  <c r="G199" i="5" l="1"/>
  <c r="I199" i="5"/>
  <c r="W199" i="6"/>
  <c r="M199" i="3"/>
  <c r="AG199" i="6"/>
  <c r="M199" i="6"/>
  <c r="N199" i="4"/>
  <c r="M199" i="2"/>
  <c r="V199" i="6"/>
  <c r="AF199" i="6" l="1"/>
  <c r="I199" i="4"/>
  <c r="L199" i="6" s="1"/>
  <c r="AA199" i="6"/>
  <c r="N199" i="3"/>
  <c r="H200" i="5"/>
  <c r="K200" i="5" s="1"/>
  <c r="U200" i="6" s="1"/>
  <c r="E199" i="6"/>
  <c r="N199" i="2"/>
  <c r="Z199" i="6"/>
  <c r="G199" i="2" l="1"/>
  <c r="I199" i="2"/>
  <c r="J199" i="6" s="1"/>
  <c r="G199" i="3"/>
  <c r="I199" i="3"/>
  <c r="AE199" i="6"/>
  <c r="K199" i="6"/>
  <c r="I200" i="6"/>
  <c r="L200" i="5"/>
  <c r="H200" i="4"/>
  <c r="K200" i="4" s="1"/>
  <c r="T200" i="6" s="1"/>
  <c r="AD199" i="6"/>
  <c r="H200" i="6" l="1"/>
  <c r="C199" i="6"/>
  <c r="H200" i="3"/>
  <c r="K200" i="3" s="1"/>
  <c r="S200" i="6" s="1"/>
  <c r="M200" i="5"/>
  <c r="Y200" i="6"/>
  <c r="L200" i="4"/>
  <c r="X200" i="6" s="1"/>
  <c r="B199" i="6"/>
  <c r="H200" i="2"/>
  <c r="K200" i="2" s="1"/>
  <c r="R200" i="6" s="1"/>
  <c r="G200" i="6" l="1"/>
  <c r="L200" i="3"/>
  <c r="N200" i="5"/>
  <c r="AC200" i="6"/>
  <c r="M200" i="4"/>
  <c r="AB200" i="6" s="1"/>
  <c r="F200" i="6"/>
  <c r="L200" i="2"/>
  <c r="G200" i="5" l="1"/>
  <c r="I200" i="5"/>
  <c r="W200" i="6"/>
  <c r="M200" i="3"/>
  <c r="AG200" i="6"/>
  <c r="M200" i="6"/>
  <c r="N200" i="4"/>
  <c r="M200" i="2"/>
  <c r="V200" i="6"/>
  <c r="AF200" i="6" l="1"/>
  <c r="I200" i="4"/>
  <c r="L200" i="6" s="1"/>
  <c r="AA200" i="6"/>
  <c r="N200" i="3"/>
  <c r="E200" i="6"/>
  <c r="H201" i="5"/>
  <c r="K201" i="5" s="1"/>
  <c r="U201" i="6" s="1"/>
  <c r="N200" i="2"/>
  <c r="Z200" i="6"/>
  <c r="G200" i="2" l="1"/>
  <c r="I200" i="2"/>
  <c r="G200" i="3"/>
  <c r="I200" i="3"/>
  <c r="AE200" i="6"/>
  <c r="K200" i="6"/>
  <c r="I201" i="6"/>
  <c r="L201" i="5"/>
  <c r="H201" i="4"/>
  <c r="K201" i="4" s="1"/>
  <c r="T201" i="6" s="1"/>
  <c r="AD200" i="6"/>
  <c r="H201" i="6" l="1"/>
  <c r="C200" i="6"/>
  <c r="H201" i="3"/>
  <c r="K201" i="3" s="1"/>
  <c r="S201" i="6" s="1"/>
  <c r="M201" i="5"/>
  <c r="Y201" i="6"/>
  <c r="L201" i="4"/>
  <c r="X201" i="6" s="1"/>
  <c r="B200" i="6"/>
  <c r="H201" i="2"/>
  <c r="K201" i="2" s="1"/>
  <c r="R201" i="6" s="1"/>
  <c r="J200" i="6"/>
  <c r="G201" i="6" l="1"/>
  <c r="L201" i="3"/>
  <c r="AC201" i="6"/>
  <c r="N201" i="5"/>
  <c r="M201" i="4"/>
  <c r="AB201" i="6" s="1"/>
  <c r="L201" i="2"/>
  <c r="F201" i="6"/>
  <c r="G201" i="5" l="1"/>
  <c r="I201" i="5"/>
  <c r="W201" i="6"/>
  <c r="M201" i="3"/>
  <c r="AG201" i="6"/>
  <c r="M201" i="6"/>
  <c r="N201" i="4"/>
  <c r="I201" i="4" s="1"/>
  <c r="M201" i="2"/>
  <c r="V201" i="6"/>
  <c r="AF201" i="6" l="1"/>
  <c r="D201" i="6"/>
  <c r="AA201" i="6"/>
  <c r="N201" i="3"/>
  <c r="E201" i="6"/>
  <c r="H202" i="5"/>
  <c r="K202" i="5" s="1"/>
  <c r="U202" i="6" s="1"/>
  <c r="L201" i="6"/>
  <c r="N201" i="2"/>
  <c r="Z201" i="6"/>
  <c r="G201" i="2" l="1"/>
  <c r="I201" i="2"/>
  <c r="J201" i="6" s="1"/>
  <c r="G201" i="3"/>
  <c r="I201" i="3"/>
  <c r="AE201" i="6"/>
  <c r="K201" i="6"/>
  <c r="I202" i="6"/>
  <c r="L202" i="5"/>
  <c r="H202" i="4"/>
  <c r="K202" i="4" s="1"/>
  <c r="T202" i="6" s="1"/>
  <c r="AD201" i="6"/>
  <c r="H202" i="6" l="1"/>
  <c r="C201" i="6"/>
  <c r="H202" i="3"/>
  <c r="K202" i="3" s="1"/>
  <c r="S202" i="6" s="1"/>
  <c r="Y202" i="6"/>
  <c r="M202" i="5"/>
  <c r="L202" i="4"/>
  <c r="X202" i="6" s="1"/>
  <c r="B201" i="6"/>
  <c r="H202" i="2"/>
  <c r="K202" i="2" s="1"/>
  <c r="R202" i="6" s="1"/>
  <c r="G202" i="6" l="1"/>
  <c r="L202" i="3"/>
  <c r="AC202" i="6"/>
  <c r="N202" i="5"/>
  <c r="M202" i="4"/>
  <c r="AB202" i="6" s="1"/>
  <c r="L202" i="2"/>
  <c r="F202" i="6"/>
  <c r="G202" i="5" l="1"/>
  <c r="E202" i="6" s="1"/>
  <c r="I202" i="5"/>
  <c r="W202" i="6"/>
  <c r="M202" i="3"/>
  <c r="AG202" i="6"/>
  <c r="M202" i="6"/>
  <c r="N202" i="4"/>
  <c r="M202" i="2"/>
  <c r="V202" i="6"/>
  <c r="AF202" i="6" l="1"/>
  <c r="I202" i="4"/>
  <c r="L202" i="6" s="1"/>
  <c r="AA202" i="6"/>
  <c r="N202" i="3"/>
  <c r="N202" i="2"/>
  <c r="Z202" i="6"/>
  <c r="G202" i="2" l="1"/>
  <c r="B202" i="6" s="1"/>
  <c r="I202" i="2"/>
  <c r="G202" i="3"/>
  <c r="C202" i="6" s="1"/>
  <c r="I202" i="3"/>
  <c r="AE202" i="6"/>
  <c r="K202" i="6"/>
  <c r="AD202" i="6"/>
  <c r="J202" i="6"/>
</calcChain>
</file>

<file path=xl/sharedStrings.xml><?xml version="1.0" encoding="utf-8"?>
<sst xmlns="http://schemas.openxmlformats.org/spreadsheetml/2006/main" count="132" uniqueCount="48">
  <si>
    <t>TIME STEP</t>
  </si>
  <si>
    <t>$</t>
  </si>
  <si>
    <t>hour</t>
  </si>
  <si>
    <t>car</t>
  </si>
  <si>
    <t>car/ hour</t>
  </si>
  <si>
    <t>$/hour</t>
  </si>
  <si>
    <t>Limit to growth</t>
  </si>
  <si>
    <t>Initial number of cars</t>
  </si>
  <si>
    <t>Entry rate</t>
  </si>
  <si>
    <t>Exit rate</t>
  </si>
  <si>
    <t>Initial number of passengers</t>
  </si>
  <si>
    <t>Price of 1 taxi ride</t>
  </si>
  <si>
    <t>Waiting time</t>
  </si>
  <si>
    <t>Target incom (2 rides for 50$ each)</t>
  </si>
  <si>
    <t>Max rides per hour</t>
  </si>
  <si>
    <t>ride/ hour</t>
  </si>
  <si>
    <t>Demand variation</t>
  </si>
  <si>
    <t>Entry flow, car/ hour</t>
  </si>
  <si>
    <t>Number of cars_1, car</t>
  </si>
  <si>
    <t>Exit flow, car/ hour</t>
  </si>
  <si>
    <t>Number of passengers_1, people</t>
  </si>
  <si>
    <t>people</t>
  </si>
  <si>
    <t>Rides per hour, ride/ hour</t>
  </si>
  <si>
    <t>Price per ride, $</t>
  </si>
  <si>
    <t>Job attractiveness</t>
  </si>
  <si>
    <t>Entry delay time</t>
  </si>
  <si>
    <t>Number of cars_2, car</t>
  </si>
  <si>
    <t>Number of passengers_2, people</t>
  </si>
  <si>
    <t>Number of cars_3, car</t>
  </si>
  <si>
    <t>Number of passengers_3, people</t>
  </si>
  <si>
    <t>Number of cars_4, car</t>
  </si>
  <si>
    <t>Number of passengers_4, people</t>
  </si>
  <si>
    <t>Hourly incom per car_1, $/ hour</t>
  </si>
  <si>
    <t>Hourly incom per car_2, $/ hour</t>
  </si>
  <si>
    <t>Hourly incom per car_3, $/ hour</t>
  </si>
  <si>
    <t>Hourly incom per car_4, $/ hour</t>
  </si>
  <si>
    <t>Average taxi ride time</t>
  </si>
  <si>
    <t>Limits to growth with a step-by-step change of demand</t>
  </si>
  <si>
    <t>Limits to growth with delayed entry time and step-by-step change of demand</t>
  </si>
  <si>
    <t>Limits to growth with periodic changes of demand</t>
  </si>
  <si>
    <t>Entry flow, car/ hour
Mod 1/ Mod 2/ Mod 3/ Mod 4</t>
  </si>
  <si>
    <t>Number of cars, car
Mod 1/ Mod 2/ Mod 3/ Mod 4</t>
  </si>
  <si>
    <t>Exit flow, car/ hour
Mod 1/ Mod 2/ Mod 3/ Mod 4</t>
  </si>
  <si>
    <t>Number of passengers, people
Mod 1/ Mod 2/ Mod 3/ Mod 4</t>
  </si>
  <si>
    <t>Rides per hour, ride/ hour
Mod 1/ Mod 2/ Mod 3/ Mod 4</t>
  </si>
  <si>
    <t>Price per ride, $
Mod 1/ Mod 2/ Mod 3/ Mod 4</t>
  </si>
  <si>
    <t>Hourly incom per car, $/ hour
Mod 1/ Mod 2/ Mod 3/ Mod 4</t>
  </si>
  <si>
    <t>Job attractiveness
Mod 1/ Mod 2/ Mod 3/ Mod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</si>
</sst>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locked="0"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1" fillId="0" borderId="0" xfId="0" applyNumberFormat="1" applyFont="1" applyAlignment="1" applyProtection="1">
      <alignment horizontal="center" vertical="center" wrapText="1"/>
      <protection locked="0" hidden="1"/>
    </xf>
    <xf numFmtId="2" fontId="1" fillId="0" borderId="0" xfId="0" applyNumberFormat="1" applyFont="1" applyAlignment="1" applyProtection="1">
      <alignment horizontal="center" vertical="center" wrapText="1"/>
      <protection locked="0"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left" vertical="center" wrapText="1"/>
      <protection hidden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43265395074712E-2"/>
          <c:y val="2.5742850900972308E-2"/>
          <c:w val="0.89010640817912201"/>
          <c:h val="0.81594947880201674"/>
        </c:manualLayout>
      </c:layout>
      <c:lineChart>
        <c:grouping val="standard"/>
        <c:varyColors val="0"/>
        <c:ser>
          <c:idx val="0"/>
          <c:order val="0"/>
          <c:tx>
            <c:strRef>
              <c:f>Model_1!$H$1</c:f>
              <c:strCache>
                <c:ptCount val="1"/>
                <c:pt idx="0">
                  <c:v>Number of cars_1, car</c:v>
                </c:pt>
              </c:strCache>
            </c:strRef>
          </c:tx>
          <c:marker>
            <c:symbol val="none"/>
          </c:marker>
          <c:cat>
            <c:numRef>
              <c:f>Model_1!$F$2:$F$202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Model_1!$H$2:$H$202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351.40190166975884</c:v>
                </c:pt>
                <c:pt idx="5">
                  <c:v>364.08806793330041</c:v>
                </c:pt>
                <c:pt idx="6">
                  <c:v>375.28689129805826</c:v>
                </c:pt>
                <c:pt idx="7">
                  <c:v>385.25631295336137</c:v>
                </c:pt>
                <c:pt idx="8">
                  <c:v>394.19143094016482</c:v>
                </c:pt>
                <c:pt idx="9">
                  <c:v>402.24400850184418</c:v>
                </c:pt>
                <c:pt idx="10">
                  <c:v>409.53480633340774</c:v>
                </c:pt>
                <c:pt idx="11">
                  <c:v>416.16172977929506</c:v>
                </c:pt>
                <c:pt idx="12">
                  <c:v>422.20540925927753</c:v>
                </c:pt>
                <c:pt idx="13">
                  <c:v>427.7331397692115</c:v>
                </c:pt>
                <c:pt idx="14">
                  <c:v>432.80173419257892</c:v>
                </c:pt>
                <c:pt idx="15">
                  <c:v>437.45963598676542</c:v>
                </c:pt>
                <c:pt idx="16">
                  <c:v>441.74851378497624</c:v>
                </c:pt>
                <c:pt idx="17">
                  <c:v>445.70448541117923</c:v>
                </c:pt>
                <c:pt idx="18">
                  <c:v>449.35907155733827</c:v>
                </c:pt>
                <c:pt idx="19">
                  <c:v>452.73994878768923</c:v>
                </c:pt>
                <c:pt idx="20">
                  <c:v>455.87155124549264</c:v>
                </c:pt>
                <c:pt idx="21">
                  <c:v>458.77555668083579</c:v>
                </c:pt>
                <c:pt idx="22">
                  <c:v>461.4712829059261</c:v>
                </c:pt>
                <c:pt idx="23">
                  <c:v>463.97601408994183</c:v>
                </c:pt>
                <c:pt idx="24">
                  <c:v>466.30527151809036</c:v>
                </c:pt>
                <c:pt idx="25">
                  <c:v>468.47303996549914</c:v>
                </c:pt>
                <c:pt idx="26">
                  <c:v>470.49195828170508</c:v>
                </c:pt>
                <c:pt idx="27">
                  <c:v>472.37348087941717</c:v>
                </c:pt>
                <c:pt idx="28">
                  <c:v>474.1280153890059</c:v>
                </c:pt>
                <c:pt idx="29">
                  <c:v>475.76504065040712</c:v>
                </c:pt>
                <c:pt idx="30">
                  <c:v>477.29320837684168</c:v>
                </c:pt>
                <c:pt idx="31">
                  <c:v>478.72043117561429</c:v>
                </c:pt>
                <c:pt idx="32">
                  <c:v>480.05395910372852</c:v>
                </c:pt>
                <c:pt idx="33">
                  <c:v>481.30044653611077</c:v>
                </c:pt>
                <c:pt idx="34">
                  <c:v>482.4660108067323</c:v>
                </c:pt>
                <c:pt idx="35">
                  <c:v>483.5562838291126</c:v>
                </c:pt>
                <c:pt idx="36">
                  <c:v>484.57645769847124</c:v>
                </c:pt>
                <c:pt idx="37">
                  <c:v>485.53132511246719</c:v>
                </c:pt>
                <c:pt idx="38">
                  <c:v>486.42531531284288</c:v>
                </c:pt>
                <c:pt idx="39">
                  <c:v>487.26252614006472</c:v>
                </c:pt>
                <c:pt idx="40">
                  <c:v>488.0467527023352</c:v>
                </c:pt>
                <c:pt idx="41">
                  <c:v>488.78151308531977</c:v>
                </c:pt>
                <c:pt idx="42">
                  <c:v>489.47007146658092</c:v>
                </c:pt>
                <c:pt idx="43">
                  <c:v>490.11545894666943</c:v>
                </c:pt>
                <c:pt idx="44">
                  <c:v>490.7204923651974</c:v>
                </c:pt>
                <c:pt idx="45">
                  <c:v>491.28779133350071</c:v>
                </c:pt>
                <c:pt idx="46">
                  <c:v>491.81979368447622</c:v>
                </c:pt>
                <c:pt idx="47">
                  <c:v>492.31876951386943</c:v>
                </c:pt>
                <c:pt idx="48">
                  <c:v>492.78683396489868</c:v>
                </c:pt>
                <c:pt idx="49">
                  <c:v>493.22595888897985</c:v>
                </c:pt>
                <c:pt idx="50">
                  <c:v>493.6379834989342</c:v>
                </c:pt>
                <c:pt idx="51">
                  <c:v>494.02462411698218</c:v>
                </c:pt>
                <c:pt idx="52">
                  <c:v>494.38748310768722</c:v>
                </c:pt>
                <c:pt idx="53">
                  <c:v>494.72805707552106</c:v>
                </c:pt>
                <c:pt idx="54">
                  <c:v>495.04774439762139</c:v>
                </c:pt>
                <c:pt idx="55">
                  <c:v>495.34785215440377</c:v>
                </c:pt>
                <c:pt idx="56">
                  <c:v>495.6296025137944</c:v>
                </c:pt>
                <c:pt idx="57">
                  <c:v>495.8941386188236</c:v>
                </c:pt>
                <c:pt idx="58">
                  <c:v>496.14253002304218</c:v>
                </c:pt>
                <c:pt idx="59">
                  <c:v>496.37577771358661</c:v>
                </c:pt>
                <c:pt idx="60">
                  <c:v>496.59481875763839</c:v>
                </c:pt>
                <c:pt idx="61">
                  <c:v>496.80053060442413</c:v>
                </c:pt>
                <c:pt idx="62">
                  <c:v>496.99373507171907</c:v>
                </c:pt>
                <c:pt idx="63">
                  <c:v>497.17520204299871</c:v>
                </c:pt>
                <c:pt idx="64">
                  <c:v>497.34565289887769</c:v>
                </c:pt>
                <c:pt idx="65">
                  <c:v>497.5057637042492</c:v>
                </c:pt>
                <c:pt idx="66">
                  <c:v>497.65616817055206</c:v>
                </c:pt>
                <c:pt idx="67">
                  <c:v>497.79746041081893</c:v>
                </c:pt>
                <c:pt idx="68">
                  <c:v>497.93019750357325</c:v>
                </c:pt>
                <c:pt idx="69">
                  <c:v>498.05490188021906</c:v>
                </c:pt>
                <c:pt idx="70">
                  <c:v>498.17206354929039</c:v>
                </c:pt>
                <c:pt idx="71">
                  <c:v>498.28214216977864</c:v>
                </c:pt>
                <c:pt idx="72">
                  <c:v>498.38556898471973</c:v>
                </c:pt>
                <c:pt idx="73">
                  <c:v>498.48274862528814</c:v>
                </c:pt>
                <c:pt idx="74">
                  <c:v>498.57406079480029</c:v>
                </c:pt>
                <c:pt idx="75">
                  <c:v>498.65986184126427</c:v>
                </c:pt>
                <c:pt idx="76">
                  <c:v>498.74048622641857</c:v>
                </c:pt>
                <c:pt idx="77">
                  <c:v>498.81624789857261</c:v>
                </c:pt>
                <c:pt idx="78">
                  <c:v>498.88744157598876</c:v>
                </c:pt>
                <c:pt idx="79">
                  <c:v>498.95434394702238</c:v>
                </c:pt>
                <c:pt idx="80">
                  <c:v>499.01721479276182</c:v>
                </c:pt>
                <c:pt idx="81">
                  <c:v>499.07629803747392</c:v>
                </c:pt>
                <c:pt idx="82">
                  <c:v>499.13182273176363</c:v>
                </c:pt>
                <c:pt idx="83">
                  <c:v>499.18400397299274</c:v>
                </c:pt>
                <c:pt idx="84">
                  <c:v>499.2330437671676</c:v>
                </c:pt>
                <c:pt idx="85">
                  <c:v>499.27913183620115</c:v>
                </c:pt>
                <c:pt idx="86">
                  <c:v>499.32244637417199</c:v>
                </c:pt>
                <c:pt idx="87">
                  <c:v>499.363154755945</c:v>
                </c:pt>
                <c:pt idx="88">
                  <c:v>499.40141420127992</c:v>
                </c:pt>
                <c:pt idx="89">
                  <c:v>499.43737239733412</c:v>
                </c:pt>
                <c:pt idx="90">
                  <c:v>499.47116808226446</c:v>
                </c:pt>
                <c:pt idx="91">
                  <c:v>499.50293159244461</c:v>
                </c:pt>
                <c:pt idx="92">
                  <c:v>499.5327853756429</c:v>
                </c:pt>
                <c:pt idx="93">
                  <c:v>499.56084447234497</c:v>
                </c:pt>
                <c:pt idx="94">
                  <c:v>499.58721696725809</c:v>
                </c:pt>
                <c:pt idx="95">
                  <c:v>499.61200441289657</c:v>
                </c:pt>
                <c:pt idx="96">
                  <c:v>499.63530222702093</c:v>
                </c:pt>
                <c:pt idx="97">
                  <c:v>499.65720006558558</c:v>
                </c:pt>
                <c:pt idx="98">
                  <c:v>499.67778217274042</c:v>
                </c:pt>
                <c:pt idx="99">
                  <c:v>499.69712770932955</c:v>
                </c:pt>
                <c:pt idx="100">
                  <c:v>499.71531106123666</c:v>
                </c:pt>
                <c:pt idx="101">
                  <c:v>499.73240212883826</c:v>
                </c:pt>
                <c:pt idx="102">
                  <c:v>499.74846659874385</c:v>
                </c:pt>
                <c:pt idx="103">
                  <c:v>499.76356619892681</c:v>
                </c:pt>
                <c:pt idx="104">
                  <c:v>499.77775893827783</c:v>
                </c:pt>
                <c:pt idx="105">
                  <c:v>499.79109933154751</c:v>
                </c:pt>
                <c:pt idx="106">
                  <c:v>499.8036386105822</c:v>
                </c:pt>
                <c:pt idx="107">
                  <c:v>499.81542492270052</c:v>
                </c:pt>
                <c:pt idx="108">
                  <c:v>499.82650351700329</c:v>
                </c:pt>
                <c:pt idx="109">
                  <c:v>499.83691691936048</c:v>
                </c:pt>
                <c:pt idx="110">
                  <c:v>499.84670509677107</c:v>
                </c:pt>
                <c:pt idx="111">
                  <c:v>499.85590561174894</c:v>
                </c:pt>
                <c:pt idx="112">
                  <c:v>499.8645537673454</c:v>
                </c:pt>
                <c:pt idx="113">
                  <c:v>499.87268274338305</c:v>
                </c:pt>
                <c:pt idx="114">
                  <c:v>499.88032372443757</c:v>
                </c:pt>
                <c:pt idx="115">
                  <c:v>499.88750602007212</c:v>
                </c:pt>
                <c:pt idx="116">
                  <c:v>499.89425717779699</c:v>
                </c:pt>
                <c:pt idx="117">
                  <c:v>499.90060308919834</c:v>
                </c:pt>
                <c:pt idx="118">
                  <c:v>499.90656808965167</c:v>
                </c:pt>
                <c:pt idx="119">
                  <c:v>499.91217505201098</c:v>
                </c:pt>
                <c:pt idx="120">
                  <c:v>499.91744547463952</c:v>
                </c:pt>
                <c:pt idx="121">
                  <c:v>499.92239956412618</c:v>
                </c:pt>
                <c:pt idx="122">
                  <c:v>499.9270563130101</c:v>
                </c:pt>
                <c:pt idx="123">
                  <c:v>499.93143357281645</c:v>
                </c:pt>
                <c:pt idx="124">
                  <c:v>499.93554812268741</c:v>
                </c:pt>
                <c:pt idx="125">
                  <c:v>499.93941573387576</c:v>
                </c:pt>
                <c:pt idx="126">
                  <c:v>499.94305123035099</c:v>
                </c:pt>
                <c:pt idx="127">
                  <c:v>499.94646854575376</c:v>
                </c:pt>
                <c:pt idx="128">
                  <c:v>499.94968077691937</c:v>
                </c:pt>
                <c:pt idx="129">
                  <c:v>499.95270023417771</c:v>
                </c:pt>
                <c:pt idx="130">
                  <c:v>499.9555384886246</c:v>
                </c:pt>
                <c:pt idx="131">
                  <c:v>499.95820641654734</c:v>
                </c:pt>
                <c:pt idx="132">
                  <c:v>499.96071424117645</c:v>
                </c:pt>
                <c:pt idx="133">
                  <c:v>499.9630715719249</c:v>
                </c:pt>
                <c:pt idx="134">
                  <c:v>499.96528744126653</c:v>
                </c:pt>
                <c:pt idx="135">
                  <c:v>499.96737033939598</c:v>
                </c:pt>
                <c:pt idx="136">
                  <c:v>499.96932824680391</c:v>
                </c:pt>
                <c:pt idx="137">
                  <c:v>499.97116866489336</c:v>
                </c:pt>
                <c:pt idx="138">
                  <c:v>499.97289864475499</c:v>
                </c:pt>
                <c:pt idx="139">
                  <c:v>499.97452481421249</c:v>
                </c:pt>
                <c:pt idx="140">
                  <c:v>499.97605340324191</c:v>
                </c:pt>
                <c:pt idx="141">
                  <c:v>499.97749026786346</c:v>
                </c:pt>
                <c:pt idx="142">
                  <c:v>499.97884091259698</c:v>
                </c:pt>
                <c:pt idx="143">
                  <c:v>499.98011051156828</c:v>
                </c:pt>
                <c:pt idx="144">
                  <c:v>499.98130392834707</c:v>
                </c:pt>
                <c:pt idx="145">
                  <c:v>499.98242573459299</c:v>
                </c:pt>
                <c:pt idx="146">
                  <c:v>499.98348022758131</c:v>
                </c:pt>
                <c:pt idx="147">
                  <c:v>499.98447144667585</c:v>
                </c:pt>
                <c:pt idx="148">
                  <c:v>499.98540318881254</c:v>
                </c:pt>
                <c:pt idx="149">
                  <c:v>499.98627902305259</c:v>
                </c:pt>
                <c:pt idx="150">
                  <c:v>499.9871023042619</c:v>
                </c:pt>
                <c:pt idx="151">
                  <c:v>499.98787618596879</c:v>
                </c:pt>
                <c:pt idx="152">
                  <c:v>499.9886036324495</c:v>
                </c:pt>
                <c:pt idx="153">
                  <c:v>499.98928743008815</c:v>
                </c:pt>
                <c:pt idx="154">
                  <c:v>499.98993019805425</c:v>
                </c:pt>
                <c:pt idx="155">
                  <c:v>499.99053439833938</c:v>
                </c:pt>
                <c:pt idx="156">
                  <c:v>499.99110234519094</c:v>
                </c:pt>
                <c:pt idx="157">
                  <c:v>499.99163621397986</c:v>
                </c:pt>
                <c:pt idx="158">
                  <c:v>499.99213804953558</c:v>
                </c:pt>
                <c:pt idx="159">
                  <c:v>499.9926097739808</c:v>
                </c:pt>
                <c:pt idx="160">
                  <c:v>499.99305319409592</c:v>
                </c:pt>
                <c:pt idx="161">
                  <c:v>499.99347000824122</c:v>
                </c:pt>
                <c:pt idx="162">
                  <c:v>499.99386181286371</c:v>
                </c:pt>
                <c:pt idx="163">
                  <c:v>499.99423010861324</c:v>
                </c:pt>
                <c:pt idx="164">
                  <c:v>499.99457630609146</c:v>
                </c:pt>
                <c:pt idx="165">
                  <c:v>499.99490173125599</c:v>
                </c:pt>
                <c:pt idx="166">
                  <c:v>499.99520763049975</c:v>
                </c:pt>
                <c:pt idx="167">
                  <c:v>499.99549517542579</c:v>
                </c:pt>
                <c:pt idx="168">
                  <c:v>499.9957654673355</c:v>
                </c:pt>
                <c:pt idx="169">
                  <c:v>499.99601954144714</c:v>
                </c:pt>
                <c:pt idx="170">
                  <c:v>499.9962583708616</c:v>
                </c:pt>
                <c:pt idx="171">
                  <c:v>499.99648287028987</c:v>
                </c:pt>
                <c:pt idx="172">
                  <c:v>499.99669389955693</c:v>
                </c:pt>
                <c:pt idx="173">
                  <c:v>499.99689226689514</c:v>
                </c:pt>
                <c:pt idx="174">
                  <c:v>499.99707873204039</c:v>
                </c:pt>
                <c:pt idx="175">
                  <c:v>499.99725400914201</c:v>
                </c:pt>
                <c:pt idx="176">
                  <c:v>499.99741876949838</c:v>
                </c:pt>
                <c:pt idx="177">
                  <c:v>499.99757364412801</c:v>
                </c:pt>
                <c:pt idx="178">
                  <c:v>499.9977192261868</c:v>
                </c:pt>
                <c:pt idx="179">
                  <c:v>499.9978560732398</c:v>
                </c:pt>
                <c:pt idx="180">
                  <c:v>499.99798470939697</c:v>
                </c:pt>
                <c:pt idx="181">
                  <c:v>499.99810562732051</c:v>
                </c:pt>
                <c:pt idx="182">
                  <c:v>499.99821929011193</c:v>
                </c:pt>
                <c:pt idx="183">
                  <c:v>499.99832613308575</c:v>
                </c:pt>
                <c:pt idx="184">
                  <c:v>499.99842656543683</c:v>
                </c:pt>
                <c:pt idx="185">
                  <c:v>499.99852097180769</c:v>
                </c:pt>
                <c:pt idx="186">
                  <c:v>499.99860971376171</c:v>
                </c:pt>
                <c:pt idx="187">
                  <c:v>499.99869313116795</c:v>
                </c:pt>
                <c:pt idx="188">
                  <c:v>499.99877154350281</c:v>
                </c:pt>
                <c:pt idx="189">
                  <c:v>499.99884525107376</c:v>
                </c:pt>
                <c:pt idx="190">
                  <c:v>499.99891453616937</c:v>
                </c:pt>
                <c:pt idx="191">
                  <c:v>499.99897966414056</c:v>
                </c:pt>
                <c:pt idx="192">
                  <c:v>499.99904088441707</c:v>
                </c:pt>
                <c:pt idx="193">
                  <c:v>499.99909843146241</c:v>
                </c:pt>
                <c:pt idx="194">
                  <c:v>499.99915252567223</c:v>
                </c:pt>
                <c:pt idx="195">
                  <c:v>499.9992033742181</c:v>
                </c:pt>
                <c:pt idx="196">
                  <c:v>499.99925117184114</c:v>
                </c:pt>
                <c:pt idx="197">
                  <c:v>499.99929610159796</c:v>
                </c:pt>
                <c:pt idx="198">
                  <c:v>499.99933833556156</c:v>
                </c:pt>
                <c:pt idx="199">
                  <c:v>499.99937803548039</c:v>
                </c:pt>
                <c:pt idx="200">
                  <c:v>499.99941535339798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Model_1!$J$1</c:f>
              <c:strCache>
                <c:ptCount val="1"/>
                <c:pt idx="0">
                  <c:v>Number of passengers_1, people</c:v>
                </c:pt>
              </c:strCache>
            </c:strRef>
          </c:tx>
          <c:marker>
            <c:symbol val="none"/>
          </c:marker>
          <c:val>
            <c:numRef>
              <c:f>Model_1!$J$2:$J$202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Model_1!$M$1</c:f>
              <c:strCache>
                <c:ptCount val="1"/>
                <c:pt idx="0">
                  <c:v>Hourly incom per car_1, $/ hour</c:v>
                </c:pt>
              </c:strCache>
            </c:strRef>
          </c:tx>
          <c:marker>
            <c:symbol val="none"/>
          </c:marker>
          <c:val>
            <c:numRef>
              <c:f>Model_1!$M$2:$M$202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148.42300556586275</c:v>
                </c:pt>
                <c:pt idx="4">
                  <c:v>142.2872208784718</c:v>
                </c:pt>
                <c:pt idx="5">
                  <c:v>137.32941121585949</c:v>
                </c:pt>
                <c:pt idx="6">
                  <c:v>133.23140551767708</c:v>
                </c:pt>
                <c:pt idx="7">
                  <c:v>129.78372662267819</c:v>
                </c:pt>
                <c:pt idx="8">
                  <c:v>126.84192520559792</c:v>
                </c:pt>
                <c:pt idx="9">
                  <c:v>124.30265943854518</c:v>
                </c:pt>
                <c:pt idx="10">
                  <c:v>122.0897448196243</c:v>
                </c:pt>
                <c:pt idx="11">
                  <c:v>120.14559826660833</c:v>
                </c:pt>
                <c:pt idx="12">
                  <c:v>118.42576836644663</c:v>
                </c:pt>
                <c:pt idx="13">
                  <c:v>116.89531474455801</c:v>
                </c:pt>
                <c:pt idx="14">
                  <c:v>115.52633931395494</c:v>
                </c:pt>
                <c:pt idx="15">
                  <c:v>114.29625932736948</c:v>
                </c:pt>
                <c:pt idx="16">
                  <c:v>113.18657208734335</c:v>
                </c:pt>
                <c:pt idx="17">
                  <c:v>112.18195382053003</c:v>
                </c:pt>
                <c:pt idx="18">
                  <c:v>111.26959076783652</c:v>
                </c:pt>
                <c:pt idx="19">
                  <c:v>110.43867485934476</c:v>
                </c:pt>
                <c:pt idx="20">
                  <c:v>109.68001811781048</c:v>
                </c:pt>
                <c:pt idx="21">
                  <c:v>108.98575408363429</c:v>
                </c:pt>
                <c:pt idx="22">
                  <c:v>108.34910394671911</c:v>
                </c:pt>
                <c:pt idx="23">
                  <c:v>107.76419142716176</c:v>
                </c:pt>
                <c:pt idx="24">
                  <c:v>107.22589482469587</c:v>
                </c:pt>
                <c:pt idx="25">
                  <c:v>106.7297277206865</c:v>
                </c:pt>
                <c:pt idx="26">
                  <c:v>106.27174199237366</c:v>
                </c:pt>
                <c:pt idx="27">
                  <c:v>105.84844836529572</c:v>
                </c:pt>
                <c:pt idx="28">
                  <c:v>105.45675087133735</c:v>
                </c:pt>
                <c:pt idx="29">
                  <c:v>105.09389242144859</c:v>
                </c:pt>
                <c:pt idx="30">
                  <c:v>104.75740932924199</c:v>
                </c:pt>
                <c:pt idx="31">
                  <c:v>104.44509309371412</c:v>
                </c:pt>
                <c:pt idx="32">
                  <c:v>104.15495810794087</c:v>
                </c:pt>
                <c:pt idx="33">
                  <c:v>103.88521423540509</c:v>
                </c:pt>
                <c:pt idx="34">
                  <c:v>103.63424340793439</c:v>
                </c:pt>
                <c:pt idx="35">
                  <c:v>103.40057956452874</c:v>
                </c:pt>
                <c:pt idx="36">
                  <c:v>103.18289137998656</c:v>
                </c:pt>
                <c:pt idx="37">
                  <c:v>102.97996733458574</c:v>
                </c:pt>
                <c:pt idx="38">
                  <c:v>102.79070275740617</c:v>
                </c:pt>
                <c:pt idx="39">
                  <c:v>102.61408854090163</c:v>
                </c:pt>
                <c:pt idx="40">
                  <c:v>102.44920127661523</c:v>
                </c:pt>
                <c:pt idx="41">
                  <c:v>102.29519460420386</c:v>
                </c:pt>
                <c:pt idx="42">
                  <c:v>102.15129160029512</c:v>
                </c:pt>
                <c:pt idx="43">
                  <c:v>102.01677806175998</c:v>
                </c:pt>
                <c:pt idx="44">
                  <c:v>101.89099656101109</c:v>
                </c:pt>
                <c:pt idx="45">
                  <c:v>101.77334116991833</c:v>
                </c:pt>
                <c:pt idx="46">
                  <c:v>101.66325276464408</c:v>
                </c:pt>
                <c:pt idx="47">
                  <c:v>101.56021483676425</c:v>
                </c:pt>
                <c:pt idx="48">
                  <c:v>101.46374974693725</c:v>
                </c:pt>
                <c:pt idx="49">
                  <c:v>101.37341536651459</c:v>
                </c:pt>
                <c:pt idx="50">
                  <c:v>101.28880206015984</c:v>
                </c:pt>
                <c:pt idx="51">
                  <c:v>101.20952996901687</c:v>
                </c:pt>
                <c:pt idx="52">
                  <c:v>101.13524655944624</c:v>
                </c:pt>
                <c:pt idx="53">
                  <c:v>101.06562440700107</c:v>
                </c:pt>
                <c:pt idx="54">
                  <c:v>101.00035918927468</c:v>
                </c:pt>
                <c:pt idx="55">
                  <c:v>100.93916786463548</c:v>
                </c:pt>
                <c:pt idx="56">
                  <c:v>100.88178701676401</c:v>
                </c:pt>
                <c:pt idx="57">
                  <c:v>100.82797134739528</c:v>
                </c:pt>
                <c:pt idx="58">
                  <c:v>100.7774923018147</c:v>
                </c:pt>
                <c:pt idx="59">
                  <c:v>100.73013681350595</c:v>
                </c:pt>
                <c:pt idx="60">
                  <c:v>100.68570615595236</c:v>
                </c:pt>
                <c:pt idx="61">
                  <c:v>100.64401489098319</c:v>
                </c:pt>
                <c:pt idx="62">
                  <c:v>100.60488990426553</c:v>
                </c:pt>
                <c:pt idx="63">
                  <c:v>100.56816951959662</c:v>
                </c:pt>
                <c:pt idx="64">
                  <c:v>100.53370268457176</c:v>
                </c:pt>
                <c:pt idx="65">
                  <c:v>100.50134822100947</c:v>
                </c:pt>
                <c:pt idx="66">
                  <c:v>100.47097413422289</c:v>
                </c:pt>
                <c:pt idx="67">
                  <c:v>100.44245697584783</c:v>
                </c:pt>
                <c:pt idx="68">
                  <c:v>100.41568125548599</c:v>
                </c:pt>
                <c:pt idx="69">
                  <c:v>100.39053889690433</c:v>
                </c:pt>
                <c:pt idx="70">
                  <c:v>100.36692873496081</c:v>
                </c:pt>
                <c:pt idx="71">
                  <c:v>100.34475604980362</c:v>
                </c:pt>
                <c:pt idx="72">
                  <c:v>100.32393213522796</c:v>
                </c:pt>
                <c:pt idx="73">
                  <c:v>100.30437389837387</c:v>
                </c:pt>
                <c:pt idx="74">
                  <c:v>100.28600348821328</c:v>
                </c:pt>
                <c:pt idx="75">
                  <c:v>100.26874795051428</c:v>
                </c:pt>
                <c:pt idx="76">
                  <c:v>100.2525389071802</c:v>
                </c:pt>
                <c:pt idx="77">
                  <c:v>100.23731225805381</c:v>
                </c:pt>
                <c:pt idx="78">
                  <c:v>100.22300790344545</c:v>
                </c:pt>
                <c:pt idx="79">
                  <c:v>100.20956948579821</c:v>
                </c:pt>
                <c:pt idx="80">
                  <c:v>100.19694414904029</c:v>
                </c:pt>
                <c:pt idx="81">
                  <c:v>100.18508231429912</c:v>
                </c:pt>
                <c:pt idx="82">
                  <c:v>100.17393747076372</c:v>
                </c:pt>
                <c:pt idx="83">
                  <c:v>100.16346598058288</c:v>
                </c:pt>
                <c:pt idx="84">
                  <c:v>100.15362689677852</c:v>
                </c:pt>
                <c:pt idx="85">
                  <c:v>100.14438179323612</c:v>
                </c:pt>
                <c:pt idx="86">
                  <c:v>100.1356946059101</c:v>
                </c:pt>
                <c:pt idx="87">
                  <c:v>100.12753148444966</c:v>
                </c:pt>
                <c:pt idx="88">
                  <c:v>100.11986065351405</c:v>
                </c:pt>
                <c:pt idx="89">
                  <c:v>100.11265228310113</c:v>
                </c:pt>
                <c:pt idx="90">
                  <c:v>100.10587836726715</c:v>
                </c:pt>
                <c:pt idx="91">
                  <c:v>100.0995126106609</c:v>
                </c:pt>
                <c:pt idx="92">
                  <c:v>100.09353032234026</c:v>
                </c:pt>
                <c:pt idx="93">
                  <c:v>100.08790831637715</c:v>
                </c:pt>
                <c:pt idx="94">
                  <c:v>100.08262481879495</c:v>
                </c:pt>
                <c:pt idx="95">
                  <c:v>100.07765938041449</c:v>
                </c:pt>
                <c:pt idx="96">
                  <c:v>100.07299279521553</c:v>
                </c:pt>
                <c:pt idx="97">
                  <c:v>100.06860702384944</c:v>
                </c:pt>
                <c:pt idx="98">
                  <c:v>100.06448512196371</c:v>
                </c:pt>
                <c:pt idx="99">
                  <c:v>100.06061117302372</c:v>
                </c:pt>
                <c:pt idx="100">
                  <c:v>100.05697022533865</c:v>
                </c:pt>
                <c:pt idx="101">
                  <c:v>100.05354823301866</c:v>
                </c:pt>
                <c:pt idx="102">
                  <c:v>100.05033200060984</c:v>
                </c:pt>
                <c:pt idx="103">
                  <c:v>100.04730913117005</c:v>
                </c:pt>
                <c:pt idx="104">
                  <c:v>100.04446797756555</c:v>
                </c:pt>
                <c:pt idx="105">
                  <c:v>100.04179759678232</c:v>
                </c:pt>
                <c:pt idx="106">
                  <c:v>100.03928770706105</c:v>
                </c:pt>
                <c:pt idx="107">
                  <c:v>100.03692864767589</c:v>
                </c:pt>
                <c:pt idx="108">
                  <c:v>100.03471134119057</c:v>
                </c:pt>
                <c:pt idx="109">
                  <c:v>100.0326272580354</c:v>
                </c:pt>
                <c:pt idx="110">
                  <c:v>100.03066838325947</c:v>
                </c:pt>
                <c:pt idx="111">
                  <c:v>100.02882718532148</c:v>
                </c:pt>
                <c:pt idx="112">
                  <c:v>100.02709658679211</c:v>
                </c:pt>
                <c:pt idx="113">
                  <c:v>100.02546993684838</c:v>
                </c:pt>
                <c:pt idx="114">
                  <c:v>100.02394098544845</c:v>
                </c:pt>
                <c:pt idx="115">
                  <c:v>100.02250385908295</c:v>
                </c:pt>
                <c:pt idx="116">
                  <c:v>100.02115303800447</c:v>
                </c:pt>
                <c:pt idx="117">
                  <c:v>100.01988333484445</c:v>
                </c:pt>
                <c:pt idx="118">
                  <c:v>100.01868987453105</c:v>
                </c:pt>
                <c:pt idx="119">
                  <c:v>100.01756807542841</c:v>
                </c:pt>
                <c:pt idx="120">
                  <c:v>100.01651363162213</c:v>
                </c:pt>
                <c:pt idx="121">
                  <c:v>100.01552249627971</c:v>
                </c:pt>
                <c:pt idx="122">
                  <c:v>100.01459086602111</c:v>
                </c:pt>
                <c:pt idx="123">
                  <c:v>100.01371516623661</c:v>
                </c:pt>
                <c:pt idx="124">
                  <c:v>100.01289203729453</c:v>
                </c:pt>
                <c:pt idx="125">
                  <c:v>100.01211832158408</c:v>
                </c:pt>
                <c:pt idx="126">
                  <c:v>100.01139105134254</c:v>
                </c:pt>
                <c:pt idx="127">
                  <c:v>100.01070743721861</c:v>
                </c:pt>
                <c:pt idx="128">
                  <c:v>100.01006485752775</c:v>
                </c:pt>
                <c:pt idx="129">
                  <c:v>100.00946084815627</c:v>
                </c:pt>
                <c:pt idx="130">
                  <c:v>100.00889309307581</c:v>
                </c:pt>
                <c:pt idx="131">
                  <c:v>100.00835941543038</c:v>
                </c:pt>
                <c:pt idx="132">
                  <c:v>100.00785776916155</c:v>
                </c:pt>
                <c:pt idx="133">
                  <c:v>100.00738623113882</c:v>
                </c:pt>
                <c:pt idx="134">
                  <c:v>100.00694299376488</c:v>
                </c:pt>
                <c:pt idx="135">
                  <c:v>100.00652635802649</c:v>
                </c:pt>
                <c:pt idx="136">
                  <c:v>100.00613472696487</c:v>
                </c:pt>
                <c:pt idx="137">
                  <c:v>100.00576659953886</c:v>
                </c:pt>
                <c:pt idx="138">
                  <c:v>100.0054205648583</c:v>
                </c:pt>
                <c:pt idx="139">
                  <c:v>100.00509529676478</c:v>
                </c:pt>
                <c:pt idx="140">
                  <c:v>100.00478954873842</c:v>
                </c:pt>
                <c:pt idx="141">
                  <c:v>100.00450214911166</c:v>
                </c:pt>
                <c:pt idx="142">
                  <c:v>100.00423199657098</c:v>
                </c:pt>
                <c:pt idx="143">
                  <c:v>100.00397805592934</c:v>
                </c:pt>
                <c:pt idx="144">
                  <c:v>100.00373935415305</c:v>
                </c:pt>
                <c:pt idx="145">
                  <c:v>100.00351497662766</c:v>
                </c:pt>
                <c:pt idx="146">
                  <c:v>100.0033040636485</c:v>
                </c:pt>
                <c:pt idx="147">
                  <c:v>100.00310580712221</c:v>
                </c:pt>
                <c:pt idx="148">
                  <c:v>100.00291944746677</c:v>
                </c:pt>
                <c:pt idx="149">
                  <c:v>100.00274427069763</c:v>
                </c:pt>
                <c:pt idx="150">
                  <c:v>100.00257960568955</c:v>
                </c:pt>
                <c:pt idx="151">
                  <c:v>100.00242482160242</c:v>
                </c:pt>
                <c:pt idx="152">
                  <c:v>100.00227932546218</c:v>
                </c:pt>
                <c:pt idx="153">
                  <c:v>100.00214255988702</c:v>
                </c:pt>
                <c:pt idx="154">
                  <c:v>100.00201400095035</c:v>
                </c:pt>
                <c:pt idx="155">
                  <c:v>100.00189315617185</c:v>
                </c:pt>
                <c:pt idx="156">
                  <c:v>100.00177956262968</c:v>
                </c:pt>
                <c:pt idx="157">
                  <c:v>100.00167278518566</c:v>
                </c:pt>
                <c:pt idx="158">
                  <c:v>100.00157241481737</c:v>
                </c:pt>
                <c:pt idx="159">
                  <c:v>100.00147806705036</c:v>
                </c:pt>
                <c:pt idx="160">
                  <c:v>100.00138938048433</c:v>
                </c:pt>
                <c:pt idx="161">
                  <c:v>100.00130601540832</c:v>
                </c:pt>
                <c:pt idx="162">
                  <c:v>100.0012276524984</c:v>
                </c:pt>
                <c:pt idx="163">
                  <c:v>100.00115399159415</c:v>
                </c:pt>
                <c:pt idx="164">
                  <c:v>100.00108475054844</c:v>
                </c:pt>
                <c:pt idx="165">
                  <c:v>100.00101966414584</c:v>
                </c:pt>
                <c:pt idx="166">
                  <c:v>100.00095848308686</c:v>
                </c:pt>
                <c:pt idx="167">
                  <c:v>100.00090097303229</c:v>
                </c:pt>
                <c:pt idx="168">
                  <c:v>100.00084691370546</c:v>
                </c:pt>
                <c:pt idx="169">
                  <c:v>100.00079609804824</c:v>
                </c:pt>
                <c:pt idx="170">
                  <c:v>100.00074833142763</c:v>
                </c:pt>
                <c:pt idx="171">
                  <c:v>100.00070343089014</c:v>
                </c:pt>
                <c:pt idx="172">
                  <c:v>100.00066122446076</c:v>
                </c:pt>
                <c:pt idx="173">
                  <c:v>100.0006215504842</c:v>
                </c:pt>
                <c:pt idx="174">
                  <c:v>100.00058425700547</c:v>
                </c:pt>
                <c:pt idx="175">
                  <c:v>100.00054920118782</c:v>
                </c:pt>
                <c:pt idx="176">
                  <c:v>100.00051624876544</c:v>
                </c:pt>
                <c:pt idx="177">
                  <c:v>100.00048527352929</c:v>
                </c:pt>
                <c:pt idx="178">
                  <c:v>100.00045615684341</c:v>
                </c:pt>
                <c:pt idx="179">
                  <c:v>100.00042878719061</c:v>
                </c:pt>
                <c:pt idx="180">
                  <c:v>100.00040305974517</c:v>
                </c:pt>
                <c:pt idx="181">
                  <c:v>100.00037887597138</c:v>
                </c:pt>
                <c:pt idx="182">
                  <c:v>100.00035614324601</c:v>
                </c:pt>
                <c:pt idx="183">
                  <c:v>100.00033477450359</c:v>
                </c:pt>
                <c:pt idx="184">
                  <c:v>100.00031468790291</c:v>
                </c:pt>
                <c:pt idx="185">
                  <c:v>100.00029580651346</c:v>
                </c:pt>
                <c:pt idx="186">
                  <c:v>100.00027805802084</c:v>
                </c:pt>
                <c:pt idx="187">
                  <c:v>100.00026137444958</c:v>
                </c:pt>
                <c:pt idx="188">
                  <c:v>100.00024569190307</c:v>
                </c:pt>
                <c:pt idx="189">
                  <c:v>100.00023095031862</c:v>
                </c:pt>
                <c:pt idx="190">
                  <c:v>100.00021709323741</c:v>
                </c:pt>
                <c:pt idx="191">
                  <c:v>100.00020406758834</c:v>
                </c:pt>
                <c:pt idx="192">
                  <c:v>100.00019182348457</c:v>
                </c:pt>
                <c:pt idx="193">
                  <c:v>100.00018031403266</c:v>
                </c:pt>
                <c:pt idx="194">
                  <c:v>100.00016949515283</c:v>
                </c:pt>
                <c:pt idx="195">
                  <c:v>100.00015932541022</c:v>
                </c:pt>
                <c:pt idx="196">
                  <c:v>100.00014976585607</c:v>
                </c:pt>
                <c:pt idx="197">
                  <c:v>100.00014077987859</c:v>
                </c:pt>
                <c:pt idx="198">
                  <c:v>100.00013233306281</c:v>
                </c:pt>
                <c:pt idx="199">
                  <c:v>100.00012439305866</c:v>
                </c:pt>
                <c:pt idx="200">
                  <c:v>100.00011692945712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81088"/>
        <c:axId val="208224640"/>
      </c:lineChart>
      <c:catAx>
        <c:axId val="20748108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5331400361958363"/>
              <c:y val="0.891176945008621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224640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8224640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07481088"/>
        <c:crossesAt val="1"/>
        <c:crossBetween val="midCat"/>
      </c:valAx>
    </c:plotArea>
    <c:legend>
      <c:legendPos val="b"/>
      <c:layout>
        <c:manualLayout>
          <c:xMode val="edge"/>
          <c:yMode val="edge"/>
          <c:x val="1.4816983617120066E-2"/>
          <c:y val="0.94048562292720561"/>
          <c:w val="0.98518301638287997"/>
          <c:h val="5.951432096526775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880905511811E-2"/>
          <c:y val="2.5742850900972308E-2"/>
          <c:w val="0.88825714967447256"/>
          <c:h val="0.79572349789774954"/>
        </c:manualLayout>
      </c:layout>
      <c:lineChart>
        <c:grouping val="standard"/>
        <c:varyColors val="0"/>
        <c:ser>
          <c:idx val="0"/>
          <c:order val="0"/>
          <c:tx>
            <c:strRef>
              <c:f>Model_2!$H$1</c:f>
              <c:strCache>
                <c:ptCount val="1"/>
                <c:pt idx="0">
                  <c:v>Number of cars_2, car</c:v>
                </c:pt>
              </c:strCache>
            </c:strRef>
          </c:tx>
          <c:marker>
            <c:symbol val="none"/>
          </c:marker>
          <c:cat>
            <c:numRef>
              <c:f>Model_2!$F$2:$F$202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Model_2!$H$2:$H$202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402.86386827458256</c:v>
                </c:pt>
                <c:pt idx="5">
                  <c:v>410.09728924192621</c:v>
                </c:pt>
                <c:pt idx="6">
                  <c:v>416.67397578313165</c:v>
                </c:pt>
                <c:pt idx="7">
                  <c:v>460.83235915187424</c:v>
                </c:pt>
                <c:pt idx="8">
                  <c:v>450.39906478579928</c:v>
                </c:pt>
                <c:pt idx="9">
                  <c:v>453.70286395583906</c:v>
                </c:pt>
                <c:pt idx="10">
                  <c:v>490.33975530184046</c:v>
                </c:pt>
                <c:pt idx="11">
                  <c:v>490.93078904489556</c:v>
                </c:pt>
                <c:pt idx="12">
                  <c:v>491.48499410745126</c:v>
                </c:pt>
                <c:pt idx="13">
                  <c:v>521.61555854052278</c:v>
                </c:pt>
                <c:pt idx="14">
                  <c:v>520.75093619890185</c:v>
                </c:pt>
                <c:pt idx="15">
                  <c:v>507.92089875094575</c:v>
                </c:pt>
                <c:pt idx="16">
                  <c:v>535.52322205449832</c:v>
                </c:pt>
                <c:pt idx="17">
                  <c:v>534.10229317231835</c:v>
                </c:pt>
                <c:pt idx="18">
                  <c:v>532.7382014454256</c:v>
                </c:pt>
                <c:pt idx="19">
                  <c:v>556.81863400275506</c:v>
                </c:pt>
                <c:pt idx="20">
                  <c:v>554.54588864264485</c:v>
                </c:pt>
                <c:pt idx="21">
                  <c:v>552.36405309693907</c:v>
                </c:pt>
                <c:pt idx="22">
                  <c:v>573.88342131922423</c:v>
                </c:pt>
                <c:pt idx="23">
                  <c:v>570.92808446645529</c:v>
                </c:pt>
                <c:pt idx="24">
                  <c:v>568.09096108779704</c:v>
                </c:pt>
                <c:pt idx="25">
                  <c:v>587.68577007132774</c:v>
                </c:pt>
                <c:pt idx="26">
                  <c:v>584.17833926847459</c:v>
                </c:pt>
                <c:pt idx="27">
                  <c:v>580.81120569773566</c:v>
                </c:pt>
                <c:pt idx="28">
                  <c:v>598.92563259462997</c:v>
                </c:pt>
                <c:pt idx="29">
                  <c:v>582.96860729084483</c:v>
                </c:pt>
                <c:pt idx="30">
                  <c:v>579.649862999211</c:v>
                </c:pt>
                <c:pt idx="31">
                  <c:v>597.89675176980711</c:v>
                </c:pt>
                <c:pt idx="32">
                  <c:v>593.98088169901484</c:v>
                </c:pt>
                <c:pt idx="33">
                  <c:v>590.2216464310543</c:v>
                </c:pt>
                <c:pt idx="34">
                  <c:v>607.28195086447636</c:v>
                </c:pt>
                <c:pt idx="35">
                  <c:v>602.99067282989733</c:v>
                </c:pt>
                <c:pt idx="36">
                  <c:v>586.87104591670141</c:v>
                </c:pt>
                <c:pt idx="37">
                  <c:v>604.30279666872332</c:v>
                </c:pt>
                <c:pt idx="38">
                  <c:v>600.13068480197444</c:v>
                </c:pt>
                <c:pt idx="39">
                  <c:v>596.12545740989549</c:v>
                </c:pt>
                <c:pt idx="40">
                  <c:v>612.54142811318354</c:v>
                </c:pt>
                <c:pt idx="41">
                  <c:v>608.03977098865619</c:v>
                </c:pt>
                <c:pt idx="42">
                  <c:v>603.71818014910991</c:v>
                </c:pt>
                <c:pt idx="43">
                  <c:v>619.32401688325592</c:v>
                </c:pt>
                <c:pt idx="44">
                  <c:v>614.55105620792563</c:v>
                </c:pt>
                <c:pt idx="45">
                  <c:v>609.96901395960856</c:v>
                </c:pt>
                <c:pt idx="46">
                  <c:v>624.92303149359236</c:v>
                </c:pt>
                <c:pt idx="47">
                  <c:v>619.9261102338487</c:v>
                </c:pt>
                <c:pt idx="48">
                  <c:v>615.12906582449477</c:v>
                </c:pt>
                <c:pt idx="49">
                  <c:v>629.55498931508805</c:v>
                </c:pt>
                <c:pt idx="50">
                  <c:v>612.37278974248454</c:v>
                </c:pt>
                <c:pt idx="51">
                  <c:v>607.87787815278512</c:v>
                </c:pt>
                <c:pt idx="52">
                  <c:v>623.04846122563788</c:v>
                </c:pt>
                <c:pt idx="53">
                  <c:v>618.12652277661232</c:v>
                </c:pt>
                <c:pt idx="54">
                  <c:v>613.40146186554784</c:v>
                </c:pt>
                <c:pt idx="55">
                  <c:v>628.0032037707814</c:v>
                </c:pt>
                <c:pt idx="56">
                  <c:v>622.88307561995009</c:v>
                </c:pt>
                <c:pt idx="57">
                  <c:v>605.96775259515209</c:v>
                </c:pt>
                <c:pt idx="58">
                  <c:v>621.33746135530635</c:v>
                </c:pt>
                <c:pt idx="59">
                  <c:v>616.48396290109406</c:v>
                </c:pt>
                <c:pt idx="60">
                  <c:v>611.82460438505029</c:v>
                </c:pt>
                <c:pt idx="61">
                  <c:v>626.58768995692935</c:v>
                </c:pt>
                <c:pt idx="62">
                  <c:v>621.52418235865218</c:v>
                </c:pt>
                <c:pt idx="63">
                  <c:v>616.66321506430609</c:v>
                </c:pt>
                <c:pt idx="64">
                  <c:v>630.93383387524909</c:v>
                </c:pt>
                <c:pt idx="65">
                  <c:v>625.69648052023911</c:v>
                </c:pt>
                <c:pt idx="66">
                  <c:v>620.66862129942956</c:v>
                </c:pt>
                <c:pt idx="67">
                  <c:v>634.53738456895962</c:v>
                </c:pt>
                <c:pt idx="68">
                  <c:v>629.15588918620119</c:v>
                </c:pt>
                <c:pt idx="69">
                  <c:v>623.9896536187531</c:v>
                </c:pt>
                <c:pt idx="70">
                  <c:v>637.52913552731331</c:v>
                </c:pt>
                <c:pt idx="71">
                  <c:v>620.02797010622078</c:v>
                </c:pt>
                <c:pt idx="72">
                  <c:v>615.22685130197192</c:v>
                </c:pt>
                <c:pt idx="73">
                  <c:v>629.64285268217191</c:v>
                </c:pt>
                <c:pt idx="74">
                  <c:v>624.45713857488499</c:v>
                </c:pt>
                <c:pt idx="75">
                  <c:v>619.47885303188957</c:v>
                </c:pt>
                <c:pt idx="76">
                  <c:v>633.46644116675566</c:v>
                </c:pt>
                <c:pt idx="77">
                  <c:v>628.12778352008547</c:v>
                </c:pt>
                <c:pt idx="78">
                  <c:v>611.00267217928206</c:v>
                </c:pt>
                <c:pt idx="79">
                  <c:v>625.85018782604266</c:v>
                </c:pt>
                <c:pt idx="80">
                  <c:v>620.81618031300093</c:v>
                </c:pt>
                <c:pt idx="81">
                  <c:v>615.98353310048094</c:v>
                </c:pt>
                <c:pt idx="82">
                  <c:v>630.32286189181741</c:v>
                </c:pt>
                <c:pt idx="83">
                  <c:v>625.10994741614468</c:v>
                </c:pt>
                <c:pt idx="84">
                  <c:v>620.10554951949894</c:v>
                </c:pt>
                <c:pt idx="85">
                  <c:v>634.03049121652941</c:v>
                </c:pt>
                <c:pt idx="86">
                  <c:v>628.66927156786824</c:v>
                </c:pt>
                <c:pt idx="87">
                  <c:v>623.52250070515356</c:v>
                </c:pt>
                <c:pt idx="88">
                  <c:v>637.10808896631931</c:v>
                </c:pt>
                <c:pt idx="89">
                  <c:v>631.6237654076665</c:v>
                </c:pt>
                <c:pt idx="90">
                  <c:v>626.3588147913598</c:v>
                </c:pt>
                <c:pt idx="91">
                  <c:v>639.66552764218966</c:v>
                </c:pt>
                <c:pt idx="92">
                  <c:v>622.07890653650202</c:v>
                </c:pt>
                <c:pt idx="93">
                  <c:v>617.19575027504197</c:v>
                </c:pt>
                <c:pt idx="94">
                  <c:v>631.41264010762382</c:v>
                </c:pt>
                <c:pt idx="95">
                  <c:v>626.15613450331887</c:v>
                </c:pt>
                <c:pt idx="96">
                  <c:v>621.10988912318612</c:v>
                </c:pt>
                <c:pt idx="97">
                  <c:v>634.93469769966657</c:v>
                </c:pt>
                <c:pt idx="98">
                  <c:v>629.53730979167995</c:v>
                </c:pt>
                <c:pt idx="99">
                  <c:v>612.35581740001271</c:v>
                </c:pt>
                <c:pt idx="100">
                  <c:v>627.06445657493168</c:v>
                </c:pt>
                <c:pt idx="101">
                  <c:v>621.98187831193445</c:v>
                </c:pt>
                <c:pt idx="102">
                  <c:v>617.10260317945711</c:v>
                </c:pt>
                <c:pt idx="103">
                  <c:v>631.32888419359347</c:v>
                </c:pt>
                <c:pt idx="104">
                  <c:v>626.07572882584975</c:v>
                </c:pt>
                <c:pt idx="105">
                  <c:v>621.03269967281574</c:v>
                </c:pt>
                <c:pt idx="106">
                  <c:v>634.86519258378587</c:v>
                </c:pt>
                <c:pt idx="107">
                  <c:v>629.47058488043444</c:v>
                </c:pt>
                <c:pt idx="108">
                  <c:v>624.29176148521708</c:v>
                </c:pt>
                <c:pt idx="109">
                  <c:v>637.80146314881858</c:v>
                </c:pt>
                <c:pt idx="110">
                  <c:v>632.28940462286585</c:v>
                </c:pt>
                <c:pt idx="111">
                  <c:v>626.99782843795117</c:v>
                </c:pt>
                <c:pt idx="112">
                  <c:v>640.24205969097875</c:v>
                </c:pt>
                <c:pt idx="113">
                  <c:v>622.63237730333958</c:v>
                </c:pt>
                <c:pt idx="114">
                  <c:v>617.72708221120604</c:v>
                </c:pt>
                <c:pt idx="115">
                  <c:v>631.89045679168248</c:v>
                </c:pt>
                <c:pt idx="116">
                  <c:v>626.61483852001516</c:v>
                </c:pt>
                <c:pt idx="117">
                  <c:v>621.55024497921454</c:v>
                </c:pt>
                <c:pt idx="118">
                  <c:v>635.33125192143552</c:v>
                </c:pt>
                <c:pt idx="119">
                  <c:v>629.91800184457816</c:v>
                </c:pt>
                <c:pt idx="120">
                  <c:v>612.72128177079503</c:v>
                </c:pt>
                <c:pt idx="121">
                  <c:v>627.3925176857972</c:v>
                </c:pt>
                <c:pt idx="122">
                  <c:v>622.29681697836531</c:v>
                </c:pt>
                <c:pt idx="123">
                  <c:v>617.40494429923069</c:v>
                </c:pt>
                <c:pt idx="124">
                  <c:v>631.60075331333712</c:v>
                </c:pt>
                <c:pt idx="125">
                  <c:v>626.33672318080369</c:v>
                </c:pt>
                <c:pt idx="126">
                  <c:v>621.2832542535715</c:v>
                </c:pt>
                <c:pt idx="127">
                  <c:v>635.09081101145466</c:v>
                </c:pt>
                <c:pt idx="128">
                  <c:v>629.68717857099648</c:v>
                </c:pt>
                <c:pt idx="129">
                  <c:v>624.49969142815667</c:v>
                </c:pt>
                <c:pt idx="130">
                  <c:v>637.98891316369304</c:v>
                </c:pt>
                <c:pt idx="131">
                  <c:v>632.46935663714532</c:v>
                </c:pt>
                <c:pt idx="132">
                  <c:v>627.17058237165952</c:v>
                </c:pt>
                <c:pt idx="133">
                  <c:v>640.39794392103181</c:v>
                </c:pt>
                <c:pt idx="134">
                  <c:v>622.78202616419048</c:v>
                </c:pt>
                <c:pt idx="135">
                  <c:v>617.87074511762285</c:v>
                </c:pt>
                <c:pt idx="136">
                  <c:v>632.01966591284497</c:v>
                </c:pt>
                <c:pt idx="137">
                  <c:v>626.7388792763312</c:v>
                </c:pt>
                <c:pt idx="138">
                  <c:v>621.66932410527795</c:v>
                </c:pt>
                <c:pt idx="139">
                  <c:v>635.43849705790228</c:v>
                </c:pt>
                <c:pt idx="140">
                  <c:v>630.0209571755862</c:v>
                </c:pt>
                <c:pt idx="141">
                  <c:v>612.82011888856277</c:v>
                </c:pt>
                <c:pt idx="142">
                  <c:v>627.48124703436179</c:v>
                </c:pt>
                <c:pt idx="143">
                  <c:v>622.38199715298731</c:v>
                </c:pt>
                <c:pt idx="144">
                  <c:v>617.4867172668678</c:v>
                </c:pt>
                <c:pt idx="145">
                  <c:v>631.67428977039765</c:v>
                </c:pt>
                <c:pt idx="146">
                  <c:v>626.40731817958169</c:v>
                </c:pt>
                <c:pt idx="147">
                  <c:v>621.3510254523984</c:v>
                </c:pt>
                <c:pt idx="148">
                  <c:v>635.15184081605116</c:v>
                </c:pt>
                <c:pt idx="149">
                  <c:v>629.74576718340916</c:v>
                </c:pt>
                <c:pt idx="150">
                  <c:v>624.55593649607283</c:v>
                </c:pt>
                <c:pt idx="151">
                  <c:v>638.03962075249729</c:v>
                </c:pt>
                <c:pt idx="152">
                  <c:v>632.51803592239742</c:v>
                </c:pt>
                <c:pt idx="153">
                  <c:v>627.21731448550156</c:v>
                </c:pt>
                <c:pt idx="154">
                  <c:v>640.44011416458738</c:v>
                </c:pt>
                <c:pt idx="155">
                  <c:v>622.82250959800388</c:v>
                </c:pt>
                <c:pt idx="156">
                  <c:v>617.90960921408373</c:v>
                </c:pt>
                <c:pt idx="157">
                  <c:v>632.05462108538438</c:v>
                </c:pt>
                <c:pt idx="158">
                  <c:v>626.77243624196899</c:v>
                </c:pt>
                <c:pt idx="159">
                  <c:v>621.70153879229019</c:v>
                </c:pt>
                <c:pt idx="160">
                  <c:v>635.46751105382805</c:v>
                </c:pt>
                <c:pt idx="161">
                  <c:v>630.04881061167498</c:v>
                </c:pt>
                <c:pt idx="162">
                  <c:v>612.846858187208</c:v>
                </c:pt>
                <c:pt idx="163">
                  <c:v>627.50525234718896</c:v>
                </c:pt>
                <c:pt idx="164">
                  <c:v>622.40504225330142</c:v>
                </c:pt>
                <c:pt idx="165">
                  <c:v>617.50884056316931</c:v>
                </c:pt>
                <c:pt idx="166">
                  <c:v>631.69418509196851</c:v>
                </c:pt>
                <c:pt idx="167">
                  <c:v>626.4264176882898</c:v>
                </c:pt>
                <c:pt idx="168">
                  <c:v>621.36936098075819</c:v>
                </c:pt>
                <c:pt idx="169">
                  <c:v>635.16835270991282</c:v>
                </c:pt>
                <c:pt idx="170">
                  <c:v>629.76161860151626</c:v>
                </c:pt>
                <c:pt idx="171">
                  <c:v>624.57115385745556</c:v>
                </c:pt>
                <c:pt idx="172">
                  <c:v>638.05334009490059</c:v>
                </c:pt>
                <c:pt idx="173">
                  <c:v>632.53120649110451</c:v>
                </c:pt>
                <c:pt idx="174">
                  <c:v>627.22995823146039</c:v>
                </c:pt>
                <c:pt idx="175">
                  <c:v>640.45152377701049</c:v>
                </c:pt>
                <c:pt idx="176">
                  <c:v>622.83346282593004</c:v>
                </c:pt>
                <c:pt idx="177">
                  <c:v>617.92012431289288</c:v>
                </c:pt>
                <c:pt idx="178">
                  <c:v>632.06407866734855</c:v>
                </c:pt>
                <c:pt idx="179">
                  <c:v>626.78151552065458</c:v>
                </c:pt>
                <c:pt idx="180">
                  <c:v>621.71025489982844</c:v>
                </c:pt>
                <c:pt idx="181">
                  <c:v>635.47536122928273</c:v>
                </c:pt>
                <c:pt idx="182">
                  <c:v>630.05634678011143</c:v>
                </c:pt>
                <c:pt idx="183">
                  <c:v>612.85409290890698</c:v>
                </c:pt>
                <c:pt idx="184">
                  <c:v>627.51174738867837</c:v>
                </c:pt>
                <c:pt idx="185">
                  <c:v>622.41127749313125</c:v>
                </c:pt>
                <c:pt idx="186">
                  <c:v>617.514826393406</c:v>
                </c:pt>
                <c:pt idx="187">
                  <c:v>631.69956813357624</c:v>
                </c:pt>
                <c:pt idx="188">
                  <c:v>626.43158540823322</c:v>
                </c:pt>
                <c:pt idx="189">
                  <c:v>621.37432199190391</c:v>
                </c:pt>
                <c:pt idx="190">
                  <c:v>635.17282032203013</c:v>
                </c:pt>
                <c:pt idx="191">
                  <c:v>629.76590750914897</c:v>
                </c:pt>
                <c:pt idx="192">
                  <c:v>624.57527120878297</c:v>
                </c:pt>
                <c:pt idx="193">
                  <c:v>638.0570521407783</c:v>
                </c:pt>
                <c:pt idx="194">
                  <c:v>632.53477005514719</c:v>
                </c:pt>
                <c:pt idx="195">
                  <c:v>627.23337925294129</c:v>
                </c:pt>
                <c:pt idx="196">
                  <c:v>640.45461088722686</c:v>
                </c:pt>
                <c:pt idx="197">
                  <c:v>622.83642645173779</c:v>
                </c:pt>
                <c:pt idx="198">
                  <c:v>617.92296939366827</c:v>
                </c:pt>
                <c:pt idx="199">
                  <c:v>632.06663762092273</c:v>
                </c:pt>
                <c:pt idx="200">
                  <c:v>626.78397211608581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Model_2!$J$1</c:f>
              <c:strCache>
                <c:ptCount val="1"/>
                <c:pt idx="0">
                  <c:v>Number of passengers_2, people</c:v>
                </c:pt>
              </c:strCache>
            </c:strRef>
          </c:tx>
          <c:marker>
            <c:symbol val="none"/>
          </c:marker>
          <c:val>
            <c:numRef>
              <c:f>Model_2!$J$2:$J$202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1600</c:v>
                </c:pt>
                <c:pt idx="4">
                  <c:v>1000</c:v>
                </c:pt>
                <c:pt idx="5">
                  <c:v>1000</c:v>
                </c:pt>
                <c:pt idx="6">
                  <c:v>1600</c:v>
                </c:pt>
                <c:pt idx="7">
                  <c:v>400</c:v>
                </c:pt>
                <c:pt idx="8">
                  <c:v>1000</c:v>
                </c:pt>
                <c:pt idx="9">
                  <c:v>1600</c:v>
                </c:pt>
                <c:pt idx="10">
                  <c:v>1000</c:v>
                </c:pt>
                <c:pt idx="11">
                  <c:v>1000</c:v>
                </c:pt>
                <c:pt idx="12">
                  <c:v>1600</c:v>
                </c:pt>
                <c:pt idx="13">
                  <c:v>1000</c:v>
                </c:pt>
                <c:pt idx="14">
                  <c:v>400</c:v>
                </c:pt>
                <c:pt idx="15">
                  <c:v>1600</c:v>
                </c:pt>
                <c:pt idx="16">
                  <c:v>1000</c:v>
                </c:pt>
                <c:pt idx="17">
                  <c:v>1000</c:v>
                </c:pt>
                <c:pt idx="18">
                  <c:v>1600</c:v>
                </c:pt>
                <c:pt idx="19">
                  <c:v>1000</c:v>
                </c:pt>
                <c:pt idx="20">
                  <c:v>1000</c:v>
                </c:pt>
                <c:pt idx="21">
                  <c:v>1600</c:v>
                </c:pt>
                <c:pt idx="22">
                  <c:v>1000</c:v>
                </c:pt>
                <c:pt idx="23">
                  <c:v>1000</c:v>
                </c:pt>
                <c:pt idx="24">
                  <c:v>1600</c:v>
                </c:pt>
                <c:pt idx="25">
                  <c:v>1000</c:v>
                </c:pt>
                <c:pt idx="26">
                  <c:v>1000</c:v>
                </c:pt>
                <c:pt idx="27">
                  <c:v>1600</c:v>
                </c:pt>
                <c:pt idx="28">
                  <c:v>400</c:v>
                </c:pt>
                <c:pt idx="29">
                  <c:v>1000</c:v>
                </c:pt>
                <c:pt idx="30">
                  <c:v>1600</c:v>
                </c:pt>
                <c:pt idx="31">
                  <c:v>1000</c:v>
                </c:pt>
                <c:pt idx="32">
                  <c:v>1000</c:v>
                </c:pt>
                <c:pt idx="33">
                  <c:v>1600</c:v>
                </c:pt>
                <c:pt idx="34">
                  <c:v>1000</c:v>
                </c:pt>
                <c:pt idx="35">
                  <c:v>400</c:v>
                </c:pt>
                <c:pt idx="36">
                  <c:v>1600</c:v>
                </c:pt>
                <c:pt idx="37">
                  <c:v>1000</c:v>
                </c:pt>
                <c:pt idx="38">
                  <c:v>1000</c:v>
                </c:pt>
                <c:pt idx="39">
                  <c:v>1600</c:v>
                </c:pt>
                <c:pt idx="40">
                  <c:v>1000</c:v>
                </c:pt>
                <c:pt idx="41">
                  <c:v>1000</c:v>
                </c:pt>
                <c:pt idx="42">
                  <c:v>1600</c:v>
                </c:pt>
                <c:pt idx="43">
                  <c:v>1000</c:v>
                </c:pt>
                <c:pt idx="44">
                  <c:v>1000</c:v>
                </c:pt>
                <c:pt idx="45">
                  <c:v>1600</c:v>
                </c:pt>
                <c:pt idx="46">
                  <c:v>1000</c:v>
                </c:pt>
                <c:pt idx="47">
                  <c:v>1000</c:v>
                </c:pt>
                <c:pt idx="48">
                  <c:v>1600</c:v>
                </c:pt>
                <c:pt idx="49">
                  <c:v>400</c:v>
                </c:pt>
                <c:pt idx="50">
                  <c:v>1000</c:v>
                </c:pt>
                <c:pt idx="51">
                  <c:v>1600</c:v>
                </c:pt>
                <c:pt idx="52">
                  <c:v>1000</c:v>
                </c:pt>
                <c:pt idx="53">
                  <c:v>1000</c:v>
                </c:pt>
                <c:pt idx="54">
                  <c:v>1600</c:v>
                </c:pt>
                <c:pt idx="55">
                  <c:v>1000</c:v>
                </c:pt>
                <c:pt idx="56">
                  <c:v>400</c:v>
                </c:pt>
                <c:pt idx="57">
                  <c:v>1600</c:v>
                </c:pt>
                <c:pt idx="58">
                  <c:v>1000</c:v>
                </c:pt>
                <c:pt idx="59">
                  <c:v>1000</c:v>
                </c:pt>
                <c:pt idx="60">
                  <c:v>1600</c:v>
                </c:pt>
                <c:pt idx="61">
                  <c:v>1000</c:v>
                </c:pt>
                <c:pt idx="62">
                  <c:v>1000</c:v>
                </c:pt>
                <c:pt idx="63">
                  <c:v>1600</c:v>
                </c:pt>
                <c:pt idx="64">
                  <c:v>1000</c:v>
                </c:pt>
                <c:pt idx="65">
                  <c:v>1000</c:v>
                </c:pt>
                <c:pt idx="66">
                  <c:v>1600</c:v>
                </c:pt>
                <c:pt idx="67">
                  <c:v>1000</c:v>
                </c:pt>
                <c:pt idx="68">
                  <c:v>1000</c:v>
                </c:pt>
                <c:pt idx="69">
                  <c:v>1600</c:v>
                </c:pt>
                <c:pt idx="70">
                  <c:v>400</c:v>
                </c:pt>
                <c:pt idx="71">
                  <c:v>1000</c:v>
                </c:pt>
                <c:pt idx="72">
                  <c:v>1600</c:v>
                </c:pt>
                <c:pt idx="73">
                  <c:v>1000</c:v>
                </c:pt>
                <c:pt idx="74">
                  <c:v>1000</c:v>
                </c:pt>
                <c:pt idx="75">
                  <c:v>1600</c:v>
                </c:pt>
                <c:pt idx="76">
                  <c:v>1000</c:v>
                </c:pt>
                <c:pt idx="77">
                  <c:v>400</c:v>
                </c:pt>
                <c:pt idx="78">
                  <c:v>1600</c:v>
                </c:pt>
                <c:pt idx="79">
                  <c:v>1000</c:v>
                </c:pt>
                <c:pt idx="80">
                  <c:v>1000</c:v>
                </c:pt>
                <c:pt idx="81">
                  <c:v>1600</c:v>
                </c:pt>
                <c:pt idx="82">
                  <c:v>1000</c:v>
                </c:pt>
                <c:pt idx="83">
                  <c:v>1000</c:v>
                </c:pt>
                <c:pt idx="84">
                  <c:v>1600</c:v>
                </c:pt>
                <c:pt idx="85">
                  <c:v>1000</c:v>
                </c:pt>
                <c:pt idx="86">
                  <c:v>1000</c:v>
                </c:pt>
                <c:pt idx="87">
                  <c:v>1600</c:v>
                </c:pt>
                <c:pt idx="88">
                  <c:v>1000</c:v>
                </c:pt>
                <c:pt idx="89">
                  <c:v>1000</c:v>
                </c:pt>
                <c:pt idx="90">
                  <c:v>1600</c:v>
                </c:pt>
                <c:pt idx="91">
                  <c:v>400</c:v>
                </c:pt>
                <c:pt idx="92">
                  <c:v>1000</c:v>
                </c:pt>
                <c:pt idx="93">
                  <c:v>1600</c:v>
                </c:pt>
                <c:pt idx="94">
                  <c:v>1000</c:v>
                </c:pt>
                <c:pt idx="95">
                  <c:v>1000</c:v>
                </c:pt>
                <c:pt idx="96">
                  <c:v>1600</c:v>
                </c:pt>
                <c:pt idx="97">
                  <c:v>1000</c:v>
                </c:pt>
                <c:pt idx="98">
                  <c:v>400</c:v>
                </c:pt>
                <c:pt idx="99">
                  <c:v>1600</c:v>
                </c:pt>
                <c:pt idx="100">
                  <c:v>1000</c:v>
                </c:pt>
                <c:pt idx="101">
                  <c:v>1000</c:v>
                </c:pt>
                <c:pt idx="102">
                  <c:v>1600</c:v>
                </c:pt>
                <c:pt idx="103">
                  <c:v>1000</c:v>
                </c:pt>
                <c:pt idx="104">
                  <c:v>1000</c:v>
                </c:pt>
                <c:pt idx="105">
                  <c:v>1600</c:v>
                </c:pt>
                <c:pt idx="106">
                  <c:v>1000</c:v>
                </c:pt>
                <c:pt idx="107">
                  <c:v>1000</c:v>
                </c:pt>
                <c:pt idx="108">
                  <c:v>1600</c:v>
                </c:pt>
                <c:pt idx="109">
                  <c:v>1000</c:v>
                </c:pt>
                <c:pt idx="110">
                  <c:v>1000</c:v>
                </c:pt>
                <c:pt idx="111">
                  <c:v>1600</c:v>
                </c:pt>
                <c:pt idx="112">
                  <c:v>400</c:v>
                </c:pt>
                <c:pt idx="113">
                  <c:v>1000</c:v>
                </c:pt>
                <c:pt idx="114">
                  <c:v>1600</c:v>
                </c:pt>
                <c:pt idx="115">
                  <c:v>1000</c:v>
                </c:pt>
                <c:pt idx="116">
                  <c:v>1000</c:v>
                </c:pt>
                <c:pt idx="117">
                  <c:v>1600</c:v>
                </c:pt>
                <c:pt idx="118">
                  <c:v>1000</c:v>
                </c:pt>
                <c:pt idx="119">
                  <c:v>400</c:v>
                </c:pt>
                <c:pt idx="120">
                  <c:v>1600</c:v>
                </c:pt>
                <c:pt idx="121">
                  <c:v>1000</c:v>
                </c:pt>
                <c:pt idx="122">
                  <c:v>1000</c:v>
                </c:pt>
                <c:pt idx="123">
                  <c:v>1600</c:v>
                </c:pt>
                <c:pt idx="124">
                  <c:v>1000</c:v>
                </c:pt>
                <c:pt idx="125">
                  <c:v>1000</c:v>
                </c:pt>
                <c:pt idx="126">
                  <c:v>1600</c:v>
                </c:pt>
                <c:pt idx="127">
                  <c:v>1000</c:v>
                </c:pt>
                <c:pt idx="128">
                  <c:v>1000</c:v>
                </c:pt>
                <c:pt idx="129">
                  <c:v>1600</c:v>
                </c:pt>
                <c:pt idx="130">
                  <c:v>1000</c:v>
                </c:pt>
                <c:pt idx="131">
                  <c:v>1000</c:v>
                </c:pt>
                <c:pt idx="132">
                  <c:v>1600</c:v>
                </c:pt>
                <c:pt idx="133">
                  <c:v>400</c:v>
                </c:pt>
                <c:pt idx="134">
                  <c:v>1000</c:v>
                </c:pt>
                <c:pt idx="135">
                  <c:v>1600</c:v>
                </c:pt>
                <c:pt idx="136">
                  <c:v>1000</c:v>
                </c:pt>
                <c:pt idx="137">
                  <c:v>1000</c:v>
                </c:pt>
                <c:pt idx="138">
                  <c:v>1600</c:v>
                </c:pt>
                <c:pt idx="139">
                  <c:v>1000</c:v>
                </c:pt>
                <c:pt idx="140">
                  <c:v>400</c:v>
                </c:pt>
                <c:pt idx="141">
                  <c:v>1600</c:v>
                </c:pt>
                <c:pt idx="142">
                  <c:v>1000</c:v>
                </c:pt>
                <c:pt idx="143">
                  <c:v>1000</c:v>
                </c:pt>
                <c:pt idx="144">
                  <c:v>1600</c:v>
                </c:pt>
                <c:pt idx="145">
                  <c:v>1000</c:v>
                </c:pt>
                <c:pt idx="146">
                  <c:v>1000</c:v>
                </c:pt>
                <c:pt idx="147">
                  <c:v>1600</c:v>
                </c:pt>
                <c:pt idx="148">
                  <c:v>1000</c:v>
                </c:pt>
                <c:pt idx="149">
                  <c:v>1000</c:v>
                </c:pt>
                <c:pt idx="150">
                  <c:v>1600</c:v>
                </c:pt>
                <c:pt idx="151">
                  <c:v>1000</c:v>
                </c:pt>
                <c:pt idx="152">
                  <c:v>1000</c:v>
                </c:pt>
                <c:pt idx="153">
                  <c:v>1600</c:v>
                </c:pt>
                <c:pt idx="154">
                  <c:v>400</c:v>
                </c:pt>
                <c:pt idx="155">
                  <c:v>1000</c:v>
                </c:pt>
                <c:pt idx="156">
                  <c:v>1600</c:v>
                </c:pt>
                <c:pt idx="157">
                  <c:v>1000</c:v>
                </c:pt>
                <c:pt idx="158">
                  <c:v>1000</c:v>
                </c:pt>
                <c:pt idx="159">
                  <c:v>1600</c:v>
                </c:pt>
                <c:pt idx="160">
                  <c:v>1000</c:v>
                </c:pt>
                <c:pt idx="161">
                  <c:v>400</c:v>
                </c:pt>
                <c:pt idx="162">
                  <c:v>1600</c:v>
                </c:pt>
                <c:pt idx="163">
                  <c:v>1000</c:v>
                </c:pt>
                <c:pt idx="164">
                  <c:v>1000</c:v>
                </c:pt>
                <c:pt idx="165">
                  <c:v>1600</c:v>
                </c:pt>
                <c:pt idx="166">
                  <c:v>1000</c:v>
                </c:pt>
                <c:pt idx="167">
                  <c:v>1000</c:v>
                </c:pt>
                <c:pt idx="168">
                  <c:v>1600</c:v>
                </c:pt>
                <c:pt idx="169">
                  <c:v>1000</c:v>
                </c:pt>
                <c:pt idx="170">
                  <c:v>1000</c:v>
                </c:pt>
                <c:pt idx="171">
                  <c:v>1600</c:v>
                </c:pt>
                <c:pt idx="172">
                  <c:v>1000</c:v>
                </c:pt>
                <c:pt idx="173">
                  <c:v>1000</c:v>
                </c:pt>
                <c:pt idx="174">
                  <c:v>1600</c:v>
                </c:pt>
                <c:pt idx="175">
                  <c:v>400</c:v>
                </c:pt>
                <c:pt idx="176">
                  <c:v>1000</c:v>
                </c:pt>
                <c:pt idx="177">
                  <c:v>1600</c:v>
                </c:pt>
                <c:pt idx="178">
                  <c:v>1000</c:v>
                </c:pt>
                <c:pt idx="179">
                  <c:v>1000</c:v>
                </c:pt>
                <c:pt idx="180">
                  <c:v>1600</c:v>
                </c:pt>
                <c:pt idx="181">
                  <c:v>1000</c:v>
                </c:pt>
                <c:pt idx="182">
                  <c:v>400</c:v>
                </c:pt>
                <c:pt idx="183">
                  <c:v>1600</c:v>
                </c:pt>
                <c:pt idx="184">
                  <c:v>1000</c:v>
                </c:pt>
                <c:pt idx="185">
                  <c:v>1000</c:v>
                </c:pt>
                <c:pt idx="186">
                  <c:v>1600</c:v>
                </c:pt>
                <c:pt idx="187">
                  <c:v>1000</c:v>
                </c:pt>
                <c:pt idx="188">
                  <c:v>1000</c:v>
                </c:pt>
                <c:pt idx="189">
                  <c:v>1600</c:v>
                </c:pt>
                <c:pt idx="190">
                  <c:v>1000</c:v>
                </c:pt>
                <c:pt idx="191">
                  <c:v>1000</c:v>
                </c:pt>
                <c:pt idx="192">
                  <c:v>1600</c:v>
                </c:pt>
                <c:pt idx="193">
                  <c:v>1000</c:v>
                </c:pt>
                <c:pt idx="194">
                  <c:v>1000</c:v>
                </c:pt>
                <c:pt idx="195">
                  <c:v>1600</c:v>
                </c:pt>
                <c:pt idx="196">
                  <c:v>400</c:v>
                </c:pt>
                <c:pt idx="197">
                  <c:v>1000</c:v>
                </c:pt>
                <c:pt idx="198">
                  <c:v>1600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Model_2!$M$1</c:f>
              <c:strCache>
                <c:ptCount val="1"/>
                <c:pt idx="0">
                  <c:v>Hourly incom per car_2, $/ hour</c:v>
                </c:pt>
              </c:strCache>
            </c:strRef>
          </c:tx>
          <c:marker>
            <c:symbol val="none"/>
          </c:marker>
          <c:val>
            <c:numRef>
              <c:f>Model_2!$M$2:$M$202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237.47680890538032</c:v>
                </c:pt>
                <c:pt idx="4">
                  <c:v>124.11140322447874</c:v>
                </c:pt>
                <c:pt idx="5">
                  <c:v>121.92228847068482</c:v>
                </c:pt>
                <c:pt idx="6">
                  <c:v>191.99663201821369</c:v>
                </c:pt>
                <c:pt idx="7">
                  <c:v>43.399730081473507</c:v>
                </c:pt>
                <c:pt idx="8">
                  <c:v>111.01266390013265</c:v>
                </c:pt>
                <c:pt idx="9">
                  <c:v>176.32685697083622</c:v>
                </c:pt>
                <c:pt idx="10">
                  <c:v>101.97011247685045</c:v>
                </c:pt>
                <c:pt idx="11">
                  <c:v>101.84735020851892</c:v>
                </c:pt>
                <c:pt idx="12">
                  <c:v>162.77200923556569</c:v>
                </c:pt>
                <c:pt idx="13">
                  <c:v>95.856036464670851</c:v>
                </c:pt>
                <c:pt idx="14">
                  <c:v>38.406075937155798</c:v>
                </c:pt>
                <c:pt idx="15">
                  <c:v>157.50484021573456</c:v>
                </c:pt>
                <c:pt idx="16">
                  <c:v>93.366632745034678</c:v>
                </c:pt>
                <c:pt idx="17">
                  <c:v>93.61502588394319</c:v>
                </c:pt>
                <c:pt idx="18">
                  <c:v>150.16756782776972</c:v>
                </c:pt>
                <c:pt idx="19">
                  <c:v>89.795845445345861</c:v>
                </c:pt>
                <c:pt idx="20">
                  <c:v>90.16386384611809</c:v>
                </c:pt>
                <c:pt idx="21">
                  <c:v>144.83201712976083</c:v>
                </c:pt>
                <c:pt idx="22">
                  <c:v>87.125709059623389</c:v>
                </c:pt>
                <c:pt idx="23">
                  <c:v>87.576704247656849</c:v>
                </c:pt>
                <c:pt idx="24">
                  <c:v>140.82251871568891</c:v>
                </c:pt>
                <c:pt idx="25">
                  <c:v>85.079480474627573</c:v>
                </c:pt>
                <c:pt idx="26">
                  <c:v>85.590301178594672</c:v>
                </c:pt>
                <c:pt idx="27">
                  <c:v>137.73838936852985</c:v>
                </c:pt>
                <c:pt idx="28">
                  <c:v>33.393127479545647</c:v>
                </c:pt>
                <c:pt idx="29">
                  <c:v>85.767911641689565</c:v>
                </c:pt>
                <c:pt idx="30">
                  <c:v>138.01435160540856</c:v>
                </c:pt>
                <c:pt idx="31">
                  <c:v>83.626478739008476</c:v>
                </c:pt>
                <c:pt idx="32">
                  <c:v>84.177793495609947</c:v>
                </c:pt>
                <c:pt idx="33">
                  <c:v>135.54230090296267</c:v>
                </c:pt>
                <c:pt idx="34">
                  <c:v>82.334078806103378</c:v>
                </c:pt>
                <c:pt idx="35">
                  <c:v>33.168008894960082</c:v>
                </c:pt>
                <c:pt idx="36">
                  <c:v>136.31614740004559</c:v>
                </c:pt>
                <c:pt idx="37">
                  <c:v>82.739977831692585</c:v>
                </c:pt>
                <c:pt idx="38">
                  <c:v>83.315186618892085</c:v>
                </c:pt>
                <c:pt idx="39">
                  <c:v>134.19993896518338</c:v>
                </c:pt>
                <c:pt idx="40">
                  <c:v>81.627131986836247</c:v>
                </c:pt>
                <c:pt idx="41">
                  <c:v>82.231463114166615</c:v>
                </c:pt>
                <c:pt idx="42">
                  <c:v>132.51215986280408</c:v>
                </c:pt>
                <c:pt idx="43">
                  <c:v>80.733184305728471</c:v>
                </c:pt>
                <c:pt idx="44">
                  <c:v>81.36020513661461</c:v>
                </c:pt>
                <c:pt idx="45">
                  <c:v>131.15420319579957</c:v>
                </c:pt>
                <c:pt idx="46">
                  <c:v>80.00985318223573</c:v>
                </c:pt>
                <c:pt idx="47">
                  <c:v>80.654773487664499</c:v>
                </c:pt>
                <c:pt idx="48">
                  <c:v>130.05400727206924</c:v>
                </c:pt>
                <c:pt idx="49">
                  <c:v>31.768471919758124</c:v>
                </c:pt>
                <c:pt idx="50">
                  <c:v>81.649610886574564</c:v>
                </c:pt>
                <c:pt idx="51">
                  <c:v>131.60538140177664</c:v>
                </c:pt>
                <c:pt idx="52">
                  <c:v>80.250579387744338</c:v>
                </c:pt>
                <c:pt idx="53">
                  <c:v>80.889588389446502</c:v>
                </c:pt>
                <c:pt idx="54">
                  <c:v>130.42029563590327</c:v>
                </c:pt>
                <c:pt idx="55">
                  <c:v>79.617428222945492</c:v>
                </c:pt>
                <c:pt idx="56">
                  <c:v>32.108754889662357</c:v>
                </c:pt>
                <c:pt idx="57">
                  <c:v>132.0202265836547</c:v>
                </c:pt>
                <c:pt idx="58">
                  <c:v>80.471568366305121</c:v>
                </c:pt>
                <c:pt idx="59">
                  <c:v>81.105110609376524</c:v>
                </c:pt>
                <c:pt idx="60">
                  <c:v>130.75642827474815</c:v>
                </c:pt>
                <c:pt idx="61">
                  <c:v>79.797290628925253</c:v>
                </c:pt>
                <c:pt idx="62">
                  <c:v>80.447392747057052</c:v>
                </c:pt>
                <c:pt idx="63">
                  <c:v>129.73045585613136</c:v>
                </c:pt>
                <c:pt idx="64">
                  <c:v>79.247612531564144</c:v>
                </c:pt>
                <c:pt idx="65">
                  <c:v>79.910949728256739</c:v>
                </c:pt>
                <c:pt idx="66">
                  <c:v>128.89325681152093</c:v>
                </c:pt>
                <c:pt idx="67">
                  <c:v>78.797563730567163</c:v>
                </c:pt>
                <c:pt idx="68">
                  <c:v>79.471560005063068</c:v>
                </c:pt>
                <c:pt idx="69">
                  <c:v>128.20725397616707</c:v>
                </c:pt>
                <c:pt idx="70">
                  <c:v>31.37111527217904</c:v>
                </c:pt>
                <c:pt idx="71">
                  <c:v>80.641523303270006</c:v>
                </c:pt>
                <c:pt idx="72">
                  <c:v>130.03333620875006</c:v>
                </c:pt>
                <c:pt idx="73">
                  <c:v>79.410096989124028</c:v>
                </c:pt>
                <c:pt idx="74">
                  <c:v>80.069546669140991</c:v>
                </c:pt>
                <c:pt idx="75">
                  <c:v>129.14080861430435</c:v>
                </c:pt>
                <c:pt idx="76">
                  <c:v>78.930779518338909</c:v>
                </c:pt>
                <c:pt idx="77">
                  <c:v>31.840654918841789</c:v>
                </c:pt>
                <c:pt idx="78">
                  <c:v>130.93232426408468</c:v>
                </c:pt>
                <c:pt idx="79">
                  <c:v>79.891323790570922</c:v>
                </c:pt>
                <c:pt idx="80">
                  <c:v>80.539137969617954</c:v>
                </c:pt>
                <c:pt idx="81">
                  <c:v>129.87360164861775</c:v>
                </c:pt>
                <c:pt idx="82">
                  <c:v>79.324427246590218</c:v>
                </c:pt>
                <c:pt idx="83">
                  <c:v>79.985929206009388</c:v>
                </c:pt>
                <c:pt idx="84">
                  <c:v>129.01029520214678</c:v>
                </c:pt>
                <c:pt idx="85">
                  <c:v>78.860560639700168</c:v>
                </c:pt>
                <c:pt idx="86">
                  <c:v>79.533074481758305</c:v>
                </c:pt>
                <c:pt idx="87">
                  <c:v>128.30330887742858</c:v>
                </c:pt>
                <c:pt idx="88">
                  <c:v>78.479618868319292</c:v>
                </c:pt>
                <c:pt idx="89">
                  <c:v>79.161049248564439</c:v>
                </c:pt>
                <c:pt idx="90">
                  <c:v>127.72231843922881</c:v>
                </c:pt>
                <c:pt idx="91">
                  <c:v>31.266340197696913</c:v>
                </c:pt>
                <c:pt idx="92">
                  <c:v>80.375655683908207</c:v>
                </c:pt>
                <c:pt idx="93">
                  <c:v>129.61852048454557</c:v>
                </c:pt>
                <c:pt idx="94">
                  <c:v>79.187518310494283</c:v>
                </c:pt>
                <c:pt idx="95">
                  <c:v>79.852288023435463</c:v>
                </c:pt>
                <c:pt idx="96">
                  <c:v>128.80168453433433</c:v>
                </c:pt>
                <c:pt idx="97">
                  <c:v>78.748255814569973</c:v>
                </c:pt>
                <c:pt idx="98">
                  <c:v>31.769364085217116</c:v>
                </c:pt>
                <c:pt idx="99">
                  <c:v>130.6429982810813</c:v>
                </c:pt>
                <c:pt idx="100">
                  <c:v>79.736619538449645</c:v>
                </c:pt>
                <c:pt idx="101">
                  <c:v>80.388194163631482</c:v>
                </c:pt>
                <c:pt idx="102">
                  <c:v>129.63808544611751</c:v>
                </c:pt>
                <c:pt idx="103">
                  <c:v>79.198023806349056</c:v>
                </c:pt>
                <c:pt idx="104">
                  <c:v>79.862543296113117</c:v>
                </c:pt>
                <c:pt idx="105">
                  <c:v>128.81769356452105</c:v>
                </c:pt>
                <c:pt idx="106">
                  <c:v>78.756877182869474</c:v>
                </c:pt>
                <c:pt idx="107">
                  <c:v>79.431829224390711</c:v>
                </c:pt>
                <c:pt idx="108">
                  <c:v>128.14521179916991</c:v>
                </c:pt>
                <c:pt idx="109">
                  <c:v>78.39430118763066</c:v>
                </c:pt>
                <c:pt idx="110">
                  <c:v>79.077712886590135</c:v>
                </c:pt>
                <c:pt idx="111">
                  <c:v>127.59214844380749</c:v>
                </c:pt>
                <c:pt idx="112">
                  <c:v>31.238185147744375</c:v>
                </c:pt>
                <c:pt idx="113">
                  <c:v>80.304208105195514</c:v>
                </c:pt>
                <c:pt idx="114">
                  <c:v>129.50703037599268</c:v>
                </c:pt>
                <c:pt idx="115">
                  <c:v>79.127639075080509</c:v>
                </c:pt>
                <c:pt idx="116">
                  <c:v>79.793833350792752</c:v>
                </c:pt>
                <c:pt idx="117">
                  <c:v>128.71043112962704</c:v>
                </c:pt>
                <c:pt idx="118">
                  <c:v>78.699103575945216</c:v>
                </c:pt>
                <c:pt idx="119">
                  <c:v>31.750164214126826</c:v>
                </c:pt>
                <c:pt idx="120">
                  <c:v>130.56507482292113</c:v>
                </c:pt>
                <c:pt idx="121">
                  <c:v>79.694925569769666</c:v>
                </c:pt>
                <c:pt idx="122">
                  <c:v>80.347510441690545</c:v>
                </c:pt>
                <c:pt idx="123">
                  <c:v>129.57460211272183</c:v>
                </c:pt>
                <c:pt idx="124">
                  <c:v>79.16393344641088</c:v>
                </c:pt>
                <c:pt idx="125">
                  <c:v>79.829264594416216</c:v>
                </c:pt>
                <c:pt idx="126">
                  <c:v>128.76574324559002</c:v>
                </c:pt>
                <c:pt idx="127">
                  <c:v>78.728898502513829</c:v>
                </c:pt>
                <c:pt idx="128">
                  <c:v>79.404507033904224</c:v>
                </c:pt>
                <c:pt idx="129">
                  <c:v>128.10254528236754</c:v>
                </c:pt>
                <c:pt idx="130">
                  <c:v>78.371267851752108</c:v>
                </c:pt>
                <c:pt idx="131">
                  <c:v>79.055213466548309</c:v>
                </c:pt>
                <c:pt idx="132">
                  <c:v>127.55700322785903</c:v>
                </c:pt>
                <c:pt idx="133">
                  <c:v>31.230581218833866</c:v>
                </c:pt>
                <c:pt idx="134">
                  <c:v>80.28491173381741</c:v>
                </c:pt>
                <c:pt idx="135">
                  <c:v>129.47691832337935</c:v>
                </c:pt>
                <c:pt idx="136">
                  <c:v>79.111462343159062</c:v>
                </c:pt>
                <c:pt idx="137">
                  <c:v>79.778040988510043</c:v>
                </c:pt>
                <c:pt idx="138">
                  <c:v>128.68577698463409</c:v>
                </c:pt>
                <c:pt idx="139">
                  <c:v>78.685821258078278</c:v>
                </c:pt>
                <c:pt idx="140">
                  <c:v>31.744975738046797</c:v>
                </c:pt>
                <c:pt idx="141">
                  <c:v>130.54401697041456</c:v>
                </c:pt>
                <c:pt idx="142">
                  <c:v>79.683656262737571</c:v>
                </c:pt>
                <c:pt idx="143">
                  <c:v>80.336513955607771</c:v>
                </c:pt>
                <c:pt idx="144">
                  <c:v>129.55744271568724</c:v>
                </c:pt>
                <c:pt idx="145">
                  <c:v>79.154717565240972</c:v>
                </c:pt>
                <c:pt idx="146">
                  <c:v>79.820267977242466</c:v>
                </c:pt>
                <c:pt idx="147">
                  <c:v>128.75169867427664</c:v>
                </c:pt>
                <c:pt idx="148">
                  <c:v>78.721333682603145</c:v>
                </c:pt>
                <c:pt idx="149">
                  <c:v>79.397119608487714</c:v>
                </c:pt>
                <c:pt idx="150">
                  <c:v>128.09100886755087</c:v>
                </c:pt>
                <c:pt idx="151">
                  <c:v>78.365039370173477</c:v>
                </c:pt>
                <c:pt idx="152">
                  <c:v>79.049129290179508</c:v>
                </c:pt>
                <c:pt idx="153">
                  <c:v>127.54749933142868</c:v>
                </c:pt>
                <c:pt idx="154">
                  <c:v>31.228524818575277</c:v>
                </c:pt>
                <c:pt idx="155">
                  <c:v>80.27969321833298</c:v>
                </c:pt>
                <c:pt idx="156">
                  <c:v>129.46877473187641</c:v>
                </c:pt>
                <c:pt idx="157">
                  <c:v>79.10708715986982</c:v>
                </c:pt>
                <c:pt idx="158">
                  <c:v>79.773769727003796</c:v>
                </c:pt>
                <c:pt idx="159">
                  <c:v>128.67910887820386</c:v>
                </c:pt>
                <c:pt idx="160">
                  <c:v>78.68222864310161</c:v>
                </c:pt>
                <c:pt idx="161">
                  <c:v>31.743572344154181</c:v>
                </c:pt>
                <c:pt idx="162">
                  <c:v>130.5383211666269</c:v>
                </c:pt>
                <c:pt idx="163">
                  <c:v>79.680607951845118</c:v>
                </c:pt>
                <c:pt idx="164">
                  <c:v>80.333539424719831</c:v>
                </c:pt>
                <c:pt idx="165">
                  <c:v>129.55280110166493</c:v>
                </c:pt>
                <c:pt idx="166">
                  <c:v>79.15222457322524</c:v>
                </c:pt>
                <c:pt idx="167">
                  <c:v>79.817834286931415</c:v>
                </c:pt>
                <c:pt idx="168">
                  <c:v>128.7478994357389</c:v>
                </c:pt>
                <c:pt idx="169">
                  <c:v>78.719287235703092</c:v>
                </c:pt>
                <c:pt idx="170">
                  <c:v>79.395121142874331</c:v>
                </c:pt>
                <c:pt idx="171">
                  <c:v>128.08788799467709</c:v>
                </c:pt>
                <c:pt idx="172">
                  <c:v>78.363354374985747</c:v>
                </c:pt>
                <c:pt idx="173">
                  <c:v>79.04748332871884</c:v>
                </c:pt>
                <c:pt idx="174">
                  <c:v>127.54492821989602</c:v>
                </c:pt>
                <c:pt idx="175">
                  <c:v>31.227968483940259</c:v>
                </c:pt>
                <c:pt idx="176">
                  <c:v>80.27828140951064</c:v>
                </c:pt>
                <c:pt idx="177">
                  <c:v>129.46657157178271</c:v>
                </c:pt>
                <c:pt idx="178">
                  <c:v>79.105903479629148</c:v>
                </c:pt>
                <c:pt idx="179">
                  <c:v>79.772614159602384</c:v>
                </c:pt>
                <c:pt idx="180">
                  <c:v>128.67730485302965</c:v>
                </c:pt>
                <c:pt idx="181">
                  <c:v>78.681256663167062</c:v>
                </c:pt>
                <c:pt idx="182">
                  <c:v>31.743192656037106</c:v>
                </c:pt>
                <c:pt idx="183">
                  <c:v>130.53678016619037</c:v>
                </c:pt>
                <c:pt idx="184">
                  <c:v>79.679783220106302</c:v>
                </c:pt>
                <c:pt idx="185">
                  <c:v>80.33273465317599</c:v>
                </c:pt>
                <c:pt idx="186">
                  <c:v>129.55154529202127</c:v>
                </c:pt>
                <c:pt idx="187">
                  <c:v>79.151550075822172</c:v>
                </c:pt>
                <c:pt idx="188">
                  <c:v>79.817175833201304</c:v>
                </c:pt>
                <c:pt idx="189">
                  <c:v>128.74687152109635</c:v>
                </c:pt>
                <c:pt idx="190">
                  <c:v>78.718733548217941</c:v>
                </c:pt>
                <c:pt idx="191">
                  <c:v>79.394580436657918</c:v>
                </c:pt>
                <c:pt idx="192">
                  <c:v>128.08704360832371</c:v>
                </c:pt>
                <c:pt idx="193">
                  <c:v>78.362898477875007</c:v>
                </c:pt>
                <c:pt idx="194">
                  <c:v>79.047037992300076</c:v>
                </c:pt>
                <c:pt idx="195">
                  <c:v>127.54423257142824</c:v>
                </c:pt>
                <c:pt idx="196">
                  <c:v>31.227817959330235</c:v>
                </c:pt>
                <c:pt idx="197">
                  <c:v>80.277899423524474</c:v>
                </c:pt>
                <c:pt idx="198">
                  <c:v>129.46597547344672</c:v>
                </c:pt>
                <c:pt idx="199">
                  <c:v>79.105583215400031</c:v>
                </c:pt>
                <c:pt idx="200">
                  <c:v>79.772301501576308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54560"/>
        <c:axId val="208764928"/>
      </c:lineChart>
      <c:catAx>
        <c:axId val="20875456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9015217253687443"/>
              <c:y val="0.870851710396191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76492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876492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08754560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"/>
          <c:y val="0.91743615165671999"/>
          <c:w val="0.99898868110236216"/>
          <c:h val="8.2563848343280039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0212198051515"/>
          <c:y val="2.5742850900972308E-2"/>
          <c:w val="0.86187681342092126"/>
          <c:h val="0.79393046384636157"/>
        </c:manualLayout>
      </c:layout>
      <c:lineChart>
        <c:grouping val="standard"/>
        <c:varyColors val="0"/>
        <c:ser>
          <c:idx val="0"/>
          <c:order val="0"/>
          <c:tx>
            <c:strRef>
              <c:f>Model_3!$H$1</c:f>
              <c:strCache>
                <c:ptCount val="1"/>
                <c:pt idx="0">
                  <c:v>Number of cars_3, car</c:v>
                </c:pt>
              </c:strCache>
            </c:strRef>
          </c:tx>
          <c:marker>
            <c:symbol val="none"/>
          </c:marker>
          <c:cat>
            <c:numRef>
              <c:f>Model_3!$F$2:$F$202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Model_3!$H$2:$H$202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332</c:v>
                </c:pt>
                <c:pt idx="8">
                  <c:v>334.72</c:v>
                </c:pt>
                <c:pt idx="9">
                  <c:v>384.72</c:v>
                </c:pt>
                <c:pt idx="10">
                  <c:v>416.72</c:v>
                </c:pt>
                <c:pt idx="11">
                  <c:v>436.72</c:v>
                </c:pt>
                <c:pt idx="12">
                  <c:v>486.72</c:v>
                </c:pt>
                <c:pt idx="13">
                  <c:v>486.72</c:v>
                </c:pt>
                <c:pt idx="14">
                  <c:v>501.53357552581264</c:v>
                </c:pt>
                <c:pt idx="15">
                  <c:v>502.42544523091863</c:v>
                </c:pt>
                <c:pt idx="16">
                  <c:v>512.01807337451623</c:v>
                </c:pt>
                <c:pt idx="17">
                  <c:v>515.88430043037636</c:v>
                </c:pt>
                <c:pt idx="18">
                  <c:v>534.55859310744142</c:v>
                </c:pt>
                <c:pt idx="19">
                  <c:v>535.86825780172148</c:v>
                </c:pt>
                <c:pt idx="20">
                  <c:v>534.43352748965265</c:v>
                </c:pt>
                <c:pt idx="21">
                  <c:v>550.82446768993066</c:v>
                </c:pt>
                <c:pt idx="22">
                  <c:v>550.82446768993066</c:v>
                </c:pt>
                <c:pt idx="23">
                  <c:v>548.79148898233348</c:v>
                </c:pt>
                <c:pt idx="24">
                  <c:v>561.73668508948003</c:v>
                </c:pt>
                <c:pt idx="25">
                  <c:v>561.73668508948003</c:v>
                </c:pt>
                <c:pt idx="26">
                  <c:v>559.26721768590085</c:v>
                </c:pt>
                <c:pt idx="27">
                  <c:v>570.46757821063159</c:v>
                </c:pt>
                <c:pt idx="28">
                  <c:v>570.46757821063159</c:v>
                </c:pt>
                <c:pt idx="29">
                  <c:v>555.64887508220636</c:v>
                </c:pt>
                <c:pt idx="30">
                  <c:v>566.1475642708441</c:v>
                </c:pt>
                <c:pt idx="31">
                  <c:v>566.1475642708441</c:v>
                </c:pt>
                <c:pt idx="32">
                  <c:v>563.50166170001035</c:v>
                </c:pt>
                <c:pt idx="33">
                  <c:v>573.03234721984427</c:v>
                </c:pt>
                <c:pt idx="34">
                  <c:v>573.03234721984427</c:v>
                </c:pt>
                <c:pt idx="35">
                  <c:v>570.11105333105047</c:v>
                </c:pt>
                <c:pt idx="36">
                  <c:v>560.26332108379745</c:v>
                </c:pt>
                <c:pt idx="37">
                  <c:v>560.26332108379745</c:v>
                </c:pt>
                <c:pt idx="38">
                  <c:v>557.85278824044553</c:v>
                </c:pt>
                <c:pt idx="39">
                  <c:v>567.42112910019057</c:v>
                </c:pt>
                <c:pt idx="40">
                  <c:v>567.42112910019057</c:v>
                </c:pt>
                <c:pt idx="41">
                  <c:v>564.72428393618293</c:v>
                </c:pt>
                <c:pt idx="42">
                  <c:v>574.97231278352035</c:v>
                </c:pt>
                <c:pt idx="43">
                  <c:v>574.97231278352035</c:v>
                </c:pt>
                <c:pt idx="44">
                  <c:v>571.97342027217951</c:v>
                </c:pt>
                <c:pt idx="45">
                  <c:v>581.39111072658102</c:v>
                </c:pt>
                <c:pt idx="46">
                  <c:v>581.39111072658102</c:v>
                </c:pt>
                <c:pt idx="47">
                  <c:v>578.13546629751772</c:v>
                </c:pt>
                <c:pt idx="48">
                  <c:v>586.75118798646702</c:v>
                </c:pt>
                <c:pt idx="49">
                  <c:v>586.75118798646702</c:v>
                </c:pt>
                <c:pt idx="50">
                  <c:v>571.2811404670083</c:v>
                </c:pt>
                <c:pt idx="51">
                  <c:v>579.71019576315712</c:v>
                </c:pt>
                <c:pt idx="52">
                  <c:v>579.71019576315712</c:v>
                </c:pt>
                <c:pt idx="53">
                  <c:v>576.52178793263079</c:v>
                </c:pt>
                <c:pt idx="54">
                  <c:v>584.36411438303639</c:v>
                </c:pt>
                <c:pt idx="55">
                  <c:v>584.36411438303639</c:v>
                </c:pt>
                <c:pt idx="56">
                  <c:v>580.98954980771498</c:v>
                </c:pt>
                <c:pt idx="57">
                  <c:v>570.30996636323619</c:v>
                </c:pt>
                <c:pt idx="58">
                  <c:v>570.30996636323619</c:v>
                </c:pt>
                <c:pt idx="59">
                  <c:v>567.4975677087067</c:v>
                </c:pt>
                <c:pt idx="60">
                  <c:v>575.86794876571059</c:v>
                </c:pt>
                <c:pt idx="61">
                  <c:v>575.86794876571059</c:v>
                </c:pt>
                <c:pt idx="62">
                  <c:v>572.83323081508217</c:v>
                </c:pt>
                <c:pt idx="63">
                  <c:v>582.00228031600102</c:v>
                </c:pt>
                <c:pt idx="64">
                  <c:v>582.00228031600102</c:v>
                </c:pt>
                <c:pt idx="65">
                  <c:v>578.72218910336096</c:v>
                </c:pt>
                <c:pt idx="66">
                  <c:v>587.24952271361303</c:v>
                </c:pt>
                <c:pt idx="67">
                  <c:v>587.24952271361303</c:v>
                </c:pt>
                <c:pt idx="68">
                  <c:v>583.75954180506847</c:v>
                </c:pt>
                <c:pt idx="69">
                  <c:v>591.64611196571605</c:v>
                </c:pt>
                <c:pt idx="70">
                  <c:v>591.64611196571605</c:v>
                </c:pt>
                <c:pt idx="71">
                  <c:v>575.98026748708742</c:v>
                </c:pt>
                <c:pt idx="72">
                  <c:v>583.80954466495245</c:v>
                </c:pt>
                <c:pt idx="73">
                  <c:v>583.80954466495245</c:v>
                </c:pt>
                <c:pt idx="74">
                  <c:v>580.45716287835432</c:v>
                </c:pt>
                <c:pt idx="75">
                  <c:v>587.80366587947526</c:v>
                </c:pt>
                <c:pt idx="76">
                  <c:v>587.80366587947526</c:v>
                </c:pt>
                <c:pt idx="77">
                  <c:v>584.2915192442963</c:v>
                </c:pt>
                <c:pt idx="78">
                  <c:v>573.36357729982979</c:v>
                </c:pt>
                <c:pt idx="79">
                  <c:v>573.36357729982979</c:v>
                </c:pt>
                <c:pt idx="80">
                  <c:v>570.42903420783659</c:v>
                </c:pt>
                <c:pt idx="81">
                  <c:v>578.44183255760527</c:v>
                </c:pt>
                <c:pt idx="82">
                  <c:v>578.44183255760527</c:v>
                </c:pt>
                <c:pt idx="83">
                  <c:v>575.3041592553011</c:v>
                </c:pt>
                <c:pt idx="84">
                  <c:v>584.1502499320826</c:v>
                </c:pt>
                <c:pt idx="85">
                  <c:v>584.1502499320826</c:v>
                </c:pt>
                <c:pt idx="86">
                  <c:v>580.7842399347993</c:v>
                </c:pt>
                <c:pt idx="87">
                  <c:v>589.04364546665931</c:v>
                </c:pt>
                <c:pt idx="88">
                  <c:v>589.04364546665931</c:v>
                </c:pt>
                <c:pt idx="89">
                  <c:v>585.48189964799292</c:v>
                </c:pt>
                <c:pt idx="90">
                  <c:v>593.14794375359145</c:v>
                </c:pt>
                <c:pt idx="91">
                  <c:v>593.14794375359145</c:v>
                </c:pt>
                <c:pt idx="92">
                  <c:v>577.42202600344774</c:v>
                </c:pt>
                <c:pt idx="93">
                  <c:v>585.06915465547183</c:v>
                </c:pt>
                <c:pt idx="94">
                  <c:v>585.06915465547183</c:v>
                </c:pt>
                <c:pt idx="95">
                  <c:v>581.66638846925298</c:v>
                </c:pt>
                <c:pt idx="96">
                  <c:v>588.86181368578627</c:v>
                </c:pt>
                <c:pt idx="97">
                  <c:v>588.86181368578627</c:v>
                </c:pt>
                <c:pt idx="98">
                  <c:v>585.30734113835479</c:v>
                </c:pt>
                <c:pt idx="99">
                  <c:v>574.30336422531548</c:v>
                </c:pt>
                <c:pt idx="100">
                  <c:v>574.30336422531548</c:v>
                </c:pt>
                <c:pt idx="101">
                  <c:v>571.33122965630287</c:v>
                </c:pt>
                <c:pt idx="102">
                  <c:v>579.23457130717759</c:v>
                </c:pt>
                <c:pt idx="103">
                  <c:v>579.23457130717759</c:v>
                </c:pt>
                <c:pt idx="104">
                  <c:v>576.06518845489052</c:v>
                </c:pt>
                <c:pt idx="105">
                  <c:v>584.8123413377815</c:v>
                </c:pt>
                <c:pt idx="106">
                  <c:v>584.8123413377815</c:v>
                </c:pt>
                <c:pt idx="107">
                  <c:v>581.41984768427028</c:v>
                </c:pt>
                <c:pt idx="108">
                  <c:v>589.59704475198646</c:v>
                </c:pt>
                <c:pt idx="109">
                  <c:v>589.59704475198646</c:v>
                </c:pt>
                <c:pt idx="110">
                  <c:v>586.01316296190703</c:v>
                </c:pt>
                <c:pt idx="111">
                  <c:v>593.61144206285223</c:v>
                </c:pt>
                <c:pt idx="112">
                  <c:v>593.61144206285223</c:v>
                </c:pt>
                <c:pt idx="113">
                  <c:v>577.86698438033818</c:v>
                </c:pt>
                <c:pt idx="114">
                  <c:v>585.45807212798331</c:v>
                </c:pt>
                <c:pt idx="115">
                  <c:v>585.45807212798331</c:v>
                </c:pt>
                <c:pt idx="116">
                  <c:v>582.03974924286399</c:v>
                </c:pt>
                <c:pt idx="117">
                  <c:v>589.18864679306296</c:v>
                </c:pt>
                <c:pt idx="118">
                  <c:v>589.18864679306296</c:v>
                </c:pt>
                <c:pt idx="119">
                  <c:v>585.62110092134049</c:v>
                </c:pt>
                <c:pt idx="120">
                  <c:v>574.59367363733236</c:v>
                </c:pt>
                <c:pt idx="121">
                  <c:v>574.59367363733236</c:v>
                </c:pt>
                <c:pt idx="122">
                  <c:v>571.60992669183906</c:v>
                </c:pt>
                <c:pt idx="123">
                  <c:v>579.47951207720723</c:v>
                </c:pt>
                <c:pt idx="124">
                  <c:v>579.47951207720723</c:v>
                </c:pt>
                <c:pt idx="125">
                  <c:v>576.30033159411892</c:v>
                </c:pt>
                <c:pt idx="126">
                  <c:v>585.01696476892971</c:v>
                </c:pt>
                <c:pt idx="127">
                  <c:v>585.01696476892971</c:v>
                </c:pt>
                <c:pt idx="128">
                  <c:v>581.61628617817257</c:v>
                </c:pt>
                <c:pt idx="129">
                  <c:v>589.76811193136871</c:v>
                </c:pt>
                <c:pt idx="130">
                  <c:v>589.76811193136871</c:v>
                </c:pt>
                <c:pt idx="131">
                  <c:v>586.17738745411395</c:v>
                </c:pt>
                <c:pt idx="132">
                  <c:v>593.75474328870609</c:v>
                </c:pt>
                <c:pt idx="133">
                  <c:v>593.75474328870609</c:v>
                </c:pt>
                <c:pt idx="134">
                  <c:v>578.00455355715781</c:v>
                </c:pt>
                <c:pt idx="135">
                  <c:v>585.57833148911993</c:v>
                </c:pt>
                <c:pt idx="136">
                  <c:v>585.57833148911993</c:v>
                </c:pt>
                <c:pt idx="137">
                  <c:v>582.15519822955514</c:v>
                </c:pt>
                <c:pt idx="138">
                  <c:v>589.28972002299895</c:v>
                </c:pt>
                <c:pt idx="139">
                  <c:v>589.28972002299895</c:v>
                </c:pt>
                <c:pt idx="140">
                  <c:v>585.71813122207902</c:v>
                </c:pt>
                <c:pt idx="141">
                  <c:v>574.68345521266701</c:v>
                </c:pt>
                <c:pt idx="142">
                  <c:v>574.68345521266701</c:v>
                </c:pt>
                <c:pt idx="143">
                  <c:v>571.69611700416033</c:v>
                </c:pt>
                <c:pt idx="144">
                  <c:v>579.55526820483726</c:v>
                </c:pt>
                <c:pt idx="145">
                  <c:v>579.55526820483726</c:v>
                </c:pt>
                <c:pt idx="146">
                  <c:v>576.37305747664379</c:v>
                </c:pt>
                <c:pt idx="147">
                  <c:v>585.0802561892549</c:v>
                </c:pt>
                <c:pt idx="148">
                  <c:v>585.0802561892549</c:v>
                </c:pt>
                <c:pt idx="149">
                  <c:v>581.6770459416847</c:v>
                </c:pt>
                <c:pt idx="150">
                  <c:v>589.82102758091332</c:v>
                </c:pt>
                <c:pt idx="151">
                  <c:v>589.82102758091332</c:v>
                </c:pt>
                <c:pt idx="152">
                  <c:v>586.22818647767679</c:v>
                </c:pt>
                <c:pt idx="153">
                  <c:v>593.79907250580789</c:v>
                </c:pt>
                <c:pt idx="154">
                  <c:v>593.79907250580789</c:v>
                </c:pt>
                <c:pt idx="155">
                  <c:v>578.04710960557554</c:v>
                </c:pt>
                <c:pt idx="156">
                  <c:v>585.61553444690423</c:v>
                </c:pt>
                <c:pt idx="157">
                  <c:v>585.61553444690423</c:v>
                </c:pt>
                <c:pt idx="158">
                  <c:v>582.19091306902806</c:v>
                </c:pt>
                <c:pt idx="159">
                  <c:v>589.32098871735707</c:v>
                </c:pt>
                <c:pt idx="160">
                  <c:v>589.32098871735707</c:v>
                </c:pt>
                <c:pt idx="161">
                  <c:v>585.74814916866274</c:v>
                </c:pt>
                <c:pt idx="162">
                  <c:v>574.71123096095198</c:v>
                </c:pt>
                <c:pt idx="163">
                  <c:v>574.71123096095198</c:v>
                </c:pt>
                <c:pt idx="164">
                  <c:v>571.7227817225139</c:v>
                </c:pt>
                <c:pt idx="165">
                  <c:v>579.57870540686258</c:v>
                </c:pt>
                <c:pt idx="166">
                  <c:v>579.57870540686258</c:v>
                </c:pt>
                <c:pt idx="167">
                  <c:v>576.39555719058808</c:v>
                </c:pt>
                <c:pt idx="168">
                  <c:v>585.09983755463986</c:v>
                </c:pt>
                <c:pt idx="169">
                  <c:v>585.09983755463986</c:v>
                </c:pt>
                <c:pt idx="170">
                  <c:v>581.69584405245428</c:v>
                </c:pt>
                <c:pt idx="171">
                  <c:v>589.83739917249602</c:v>
                </c:pt>
                <c:pt idx="172">
                  <c:v>589.83739917249602</c:v>
                </c:pt>
                <c:pt idx="173">
                  <c:v>586.24390320559621</c:v>
                </c:pt>
                <c:pt idx="174">
                  <c:v>593.81278775979899</c:v>
                </c:pt>
                <c:pt idx="175">
                  <c:v>593.81278775979899</c:v>
                </c:pt>
                <c:pt idx="176">
                  <c:v>578.06027624940702</c:v>
                </c:pt>
                <c:pt idx="177">
                  <c:v>585.62704502029408</c:v>
                </c:pt>
                <c:pt idx="178">
                  <c:v>585.62704502029408</c:v>
                </c:pt>
                <c:pt idx="179">
                  <c:v>582.20196321948231</c:v>
                </c:pt>
                <c:pt idx="180">
                  <c:v>589.33066333661554</c:v>
                </c:pt>
                <c:pt idx="181">
                  <c:v>589.33066333661554</c:v>
                </c:pt>
                <c:pt idx="182">
                  <c:v>585.75743680315088</c:v>
                </c:pt>
                <c:pt idx="183">
                  <c:v>574.71982488342678</c:v>
                </c:pt>
                <c:pt idx="184">
                  <c:v>574.71982488342678</c:v>
                </c:pt>
                <c:pt idx="185">
                  <c:v>571.73103188808966</c:v>
                </c:pt>
                <c:pt idx="186">
                  <c:v>579.5859570153782</c:v>
                </c:pt>
                <c:pt idx="187">
                  <c:v>579.5859570153782</c:v>
                </c:pt>
                <c:pt idx="188">
                  <c:v>576.40251873476302</c:v>
                </c:pt>
                <c:pt idx="189">
                  <c:v>585.10589618828305</c:v>
                </c:pt>
                <c:pt idx="190">
                  <c:v>585.10589618828305</c:v>
                </c:pt>
                <c:pt idx="191">
                  <c:v>581.70166034075169</c:v>
                </c:pt>
                <c:pt idx="192">
                  <c:v>589.8424647072037</c:v>
                </c:pt>
                <c:pt idx="193">
                  <c:v>589.8424647072037</c:v>
                </c:pt>
                <c:pt idx="194">
                  <c:v>586.24876611891557</c:v>
                </c:pt>
                <c:pt idx="195">
                  <c:v>593.81703141822959</c:v>
                </c:pt>
                <c:pt idx="196">
                  <c:v>593.81703141822959</c:v>
                </c:pt>
                <c:pt idx="197">
                  <c:v>578.06435016150044</c:v>
                </c:pt>
                <c:pt idx="198">
                  <c:v>585.63060653946104</c:v>
                </c:pt>
                <c:pt idx="199">
                  <c:v>585.63060653946104</c:v>
                </c:pt>
                <c:pt idx="200">
                  <c:v>582.20538227788256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Model_3!$J$1</c:f>
              <c:strCache>
                <c:ptCount val="1"/>
                <c:pt idx="0">
                  <c:v>Number of passengers_3, people</c:v>
                </c:pt>
              </c:strCache>
            </c:strRef>
          </c:tx>
          <c:marker>
            <c:symbol val="none"/>
          </c:marker>
          <c:val>
            <c:numRef>
              <c:f>Model_3!$J$2:$J$202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1600</c:v>
                </c:pt>
                <c:pt idx="4">
                  <c:v>1000</c:v>
                </c:pt>
                <c:pt idx="5">
                  <c:v>1000</c:v>
                </c:pt>
                <c:pt idx="6">
                  <c:v>1600</c:v>
                </c:pt>
                <c:pt idx="7">
                  <c:v>400</c:v>
                </c:pt>
                <c:pt idx="8">
                  <c:v>1000</c:v>
                </c:pt>
                <c:pt idx="9">
                  <c:v>1600</c:v>
                </c:pt>
                <c:pt idx="10">
                  <c:v>1000</c:v>
                </c:pt>
                <c:pt idx="11">
                  <c:v>1000</c:v>
                </c:pt>
                <c:pt idx="12">
                  <c:v>1600</c:v>
                </c:pt>
                <c:pt idx="13">
                  <c:v>1000</c:v>
                </c:pt>
                <c:pt idx="14">
                  <c:v>400</c:v>
                </c:pt>
                <c:pt idx="15">
                  <c:v>1600</c:v>
                </c:pt>
                <c:pt idx="16">
                  <c:v>1000</c:v>
                </c:pt>
                <c:pt idx="17">
                  <c:v>1000</c:v>
                </c:pt>
                <c:pt idx="18">
                  <c:v>1600</c:v>
                </c:pt>
                <c:pt idx="19">
                  <c:v>1000</c:v>
                </c:pt>
                <c:pt idx="20">
                  <c:v>1000</c:v>
                </c:pt>
                <c:pt idx="21">
                  <c:v>1600</c:v>
                </c:pt>
                <c:pt idx="22">
                  <c:v>1000</c:v>
                </c:pt>
                <c:pt idx="23">
                  <c:v>1000</c:v>
                </c:pt>
                <c:pt idx="24">
                  <c:v>1600</c:v>
                </c:pt>
                <c:pt idx="25">
                  <c:v>1000</c:v>
                </c:pt>
                <c:pt idx="26">
                  <c:v>1000</c:v>
                </c:pt>
                <c:pt idx="27">
                  <c:v>1600</c:v>
                </c:pt>
                <c:pt idx="28">
                  <c:v>400</c:v>
                </c:pt>
                <c:pt idx="29">
                  <c:v>1000</c:v>
                </c:pt>
                <c:pt idx="30">
                  <c:v>1600</c:v>
                </c:pt>
                <c:pt idx="31">
                  <c:v>1000</c:v>
                </c:pt>
                <c:pt idx="32">
                  <c:v>1000</c:v>
                </c:pt>
                <c:pt idx="33">
                  <c:v>1600</c:v>
                </c:pt>
                <c:pt idx="34">
                  <c:v>1000</c:v>
                </c:pt>
                <c:pt idx="35">
                  <c:v>400</c:v>
                </c:pt>
                <c:pt idx="36">
                  <c:v>1600</c:v>
                </c:pt>
                <c:pt idx="37">
                  <c:v>1000</c:v>
                </c:pt>
                <c:pt idx="38">
                  <c:v>1000</c:v>
                </c:pt>
                <c:pt idx="39">
                  <c:v>1600</c:v>
                </c:pt>
                <c:pt idx="40">
                  <c:v>1000</c:v>
                </c:pt>
                <c:pt idx="41">
                  <c:v>1000</c:v>
                </c:pt>
                <c:pt idx="42">
                  <c:v>1600</c:v>
                </c:pt>
                <c:pt idx="43">
                  <c:v>1000</c:v>
                </c:pt>
                <c:pt idx="44">
                  <c:v>1000</c:v>
                </c:pt>
                <c:pt idx="45">
                  <c:v>1600</c:v>
                </c:pt>
                <c:pt idx="46">
                  <c:v>1000</c:v>
                </c:pt>
                <c:pt idx="47">
                  <c:v>1000</c:v>
                </c:pt>
                <c:pt idx="48">
                  <c:v>1600</c:v>
                </c:pt>
                <c:pt idx="49">
                  <c:v>400</c:v>
                </c:pt>
                <c:pt idx="50">
                  <c:v>1000</c:v>
                </c:pt>
                <c:pt idx="51">
                  <c:v>1600</c:v>
                </c:pt>
                <c:pt idx="52">
                  <c:v>1000</c:v>
                </c:pt>
                <c:pt idx="53">
                  <c:v>1000</c:v>
                </c:pt>
                <c:pt idx="54">
                  <c:v>1600</c:v>
                </c:pt>
                <c:pt idx="55">
                  <c:v>1000</c:v>
                </c:pt>
                <c:pt idx="56">
                  <c:v>400</c:v>
                </c:pt>
                <c:pt idx="57">
                  <c:v>1600</c:v>
                </c:pt>
                <c:pt idx="58">
                  <c:v>1000</c:v>
                </c:pt>
                <c:pt idx="59">
                  <c:v>1000</c:v>
                </c:pt>
                <c:pt idx="60">
                  <c:v>1600</c:v>
                </c:pt>
                <c:pt idx="61">
                  <c:v>1000</c:v>
                </c:pt>
                <c:pt idx="62">
                  <c:v>1000</c:v>
                </c:pt>
                <c:pt idx="63">
                  <c:v>1600</c:v>
                </c:pt>
                <c:pt idx="64">
                  <c:v>1000</c:v>
                </c:pt>
                <c:pt idx="65">
                  <c:v>1000</c:v>
                </c:pt>
                <c:pt idx="66">
                  <c:v>1600</c:v>
                </c:pt>
                <c:pt idx="67">
                  <c:v>1000</c:v>
                </c:pt>
                <c:pt idx="68">
                  <c:v>1000</c:v>
                </c:pt>
                <c:pt idx="69">
                  <c:v>1600</c:v>
                </c:pt>
                <c:pt idx="70">
                  <c:v>400</c:v>
                </c:pt>
                <c:pt idx="71">
                  <c:v>1000</c:v>
                </c:pt>
                <c:pt idx="72">
                  <c:v>1600</c:v>
                </c:pt>
                <c:pt idx="73">
                  <c:v>1000</c:v>
                </c:pt>
                <c:pt idx="74">
                  <c:v>1000</c:v>
                </c:pt>
                <c:pt idx="75">
                  <c:v>1600</c:v>
                </c:pt>
                <c:pt idx="76">
                  <c:v>1000</c:v>
                </c:pt>
                <c:pt idx="77">
                  <c:v>400</c:v>
                </c:pt>
                <c:pt idx="78">
                  <c:v>1600</c:v>
                </c:pt>
                <c:pt idx="79">
                  <c:v>1000</c:v>
                </c:pt>
                <c:pt idx="80">
                  <c:v>1000</c:v>
                </c:pt>
                <c:pt idx="81">
                  <c:v>1600</c:v>
                </c:pt>
                <c:pt idx="82">
                  <c:v>1000</c:v>
                </c:pt>
                <c:pt idx="83">
                  <c:v>1000</c:v>
                </c:pt>
                <c:pt idx="84">
                  <c:v>1600</c:v>
                </c:pt>
                <c:pt idx="85">
                  <c:v>1000</c:v>
                </c:pt>
                <c:pt idx="86">
                  <c:v>1000</c:v>
                </c:pt>
                <c:pt idx="87">
                  <c:v>1600</c:v>
                </c:pt>
                <c:pt idx="88">
                  <c:v>1000</c:v>
                </c:pt>
                <c:pt idx="89">
                  <c:v>1000</c:v>
                </c:pt>
                <c:pt idx="90">
                  <c:v>1600</c:v>
                </c:pt>
                <c:pt idx="91">
                  <c:v>400</c:v>
                </c:pt>
                <c:pt idx="92">
                  <c:v>1000</c:v>
                </c:pt>
                <c:pt idx="93">
                  <c:v>1600</c:v>
                </c:pt>
                <c:pt idx="94">
                  <c:v>1000</c:v>
                </c:pt>
                <c:pt idx="95">
                  <c:v>1000</c:v>
                </c:pt>
                <c:pt idx="96">
                  <c:v>1600</c:v>
                </c:pt>
                <c:pt idx="97">
                  <c:v>1000</c:v>
                </c:pt>
                <c:pt idx="98">
                  <c:v>400</c:v>
                </c:pt>
                <c:pt idx="99">
                  <c:v>1600</c:v>
                </c:pt>
                <c:pt idx="100">
                  <c:v>1000</c:v>
                </c:pt>
                <c:pt idx="101">
                  <c:v>1000</c:v>
                </c:pt>
                <c:pt idx="102">
                  <c:v>1600</c:v>
                </c:pt>
                <c:pt idx="103">
                  <c:v>1000</c:v>
                </c:pt>
                <c:pt idx="104">
                  <c:v>1000</c:v>
                </c:pt>
                <c:pt idx="105">
                  <c:v>1600</c:v>
                </c:pt>
                <c:pt idx="106">
                  <c:v>1000</c:v>
                </c:pt>
                <c:pt idx="107">
                  <c:v>1000</c:v>
                </c:pt>
                <c:pt idx="108">
                  <c:v>1600</c:v>
                </c:pt>
                <c:pt idx="109">
                  <c:v>1000</c:v>
                </c:pt>
                <c:pt idx="110">
                  <c:v>1000</c:v>
                </c:pt>
                <c:pt idx="111">
                  <c:v>1600</c:v>
                </c:pt>
                <c:pt idx="112">
                  <c:v>400</c:v>
                </c:pt>
                <c:pt idx="113">
                  <c:v>1000</c:v>
                </c:pt>
                <c:pt idx="114">
                  <c:v>1600</c:v>
                </c:pt>
                <c:pt idx="115">
                  <c:v>1000</c:v>
                </c:pt>
                <c:pt idx="116">
                  <c:v>1000</c:v>
                </c:pt>
                <c:pt idx="117">
                  <c:v>1600</c:v>
                </c:pt>
                <c:pt idx="118">
                  <c:v>1000</c:v>
                </c:pt>
                <c:pt idx="119">
                  <c:v>400</c:v>
                </c:pt>
                <c:pt idx="120">
                  <c:v>1600</c:v>
                </c:pt>
                <c:pt idx="121">
                  <c:v>1000</c:v>
                </c:pt>
                <c:pt idx="122">
                  <c:v>1000</c:v>
                </c:pt>
                <c:pt idx="123">
                  <c:v>1600</c:v>
                </c:pt>
                <c:pt idx="124">
                  <c:v>1000</c:v>
                </c:pt>
                <c:pt idx="125">
                  <c:v>1000</c:v>
                </c:pt>
                <c:pt idx="126">
                  <c:v>1600</c:v>
                </c:pt>
                <c:pt idx="127">
                  <c:v>1000</c:v>
                </c:pt>
                <c:pt idx="128">
                  <c:v>1000</c:v>
                </c:pt>
                <c:pt idx="129">
                  <c:v>1600</c:v>
                </c:pt>
                <c:pt idx="130">
                  <c:v>1000</c:v>
                </c:pt>
                <c:pt idx="131">
                  <c:v>1000</c:v>
                </c:pt>
                <c:pt idx="132">
                  <c:v>1600</c:v>
                </c:pt>
                <c:pt idx="133">
                  <c:v>400</c:v>
                </c:pt>
                <c:pt idx="134">
                  <c:v>1000</c:v>
                </c:pt>
                <c:pt idx="135">
                  <c:v>1600</c:v>
                </c:pt>
                <c:pt idx="136">
                  <c:v>1000</c:v>
                </c:pt>
                <c:pt idx="137">
                  <c:v>1000</c:v>
                </c:pt>
                <c:pt idx="138">
                  <c:v>1600</c:v>
                </c:pt>
                <c:pt idx="139">
                  <c:v>1000</c:v>
                </c:pt>
                <c:pt idx="140">
                  <c:v>400</c:v>
                </c:pt>
                <c:pt idx="141">
                  <c:v>1600</c:v>
                </c:pt>
                <c:pt idx="142">
                  <c:v>1000</c:v>
                </c:pt>
                <c:pt idx="143">
                  <c:v>1000</c:v>
                </c:pt>
                <c:pt idx="144">
                  <c:v>1600</c:v>
                </c:pt>
                <c:pt idx="145">
                  <c:v>1000</c:v>
                </c:pt>
                <c:pt idx="146">
                  <c:v>1000</c:v>
                </c:pt>
                <c:pt idx="147">
                  <c:v>1600</c:v>
                </c:pt>
                <c:pt idx="148">
                  <c:v>1000</c:v>
                </c:pt>
                <c:pt idx="149">
                  <c:v>1000</c:v>
                </c:pt>
                <c:pt idx="150">
                  <c:v>1600</c:v>
                </c:pt>
                <c:pt idx="151">
                  <c:v>1000</c:v>
                </c:pt>
                <c:pt idx="152">
                  <c:v>1000</c:v>
                </c:pt>
                <c:pt idx="153">
                  <c:v>1600</c:v>
                </c:pt>
                <c:pt idx="154">
                  <c:v>400</c:v>
                </c:pt>
                <c:pt idx="155">
                  <c:v>1000</c:v>
                </c:pt>
                <c:pt idx="156">
                  <c:v>1600</c:v>
                </c:pt>
                <c:pt idx="157">
                  <c:v>1000</c:v>
                </c:pt>
                <c:pt idx="158">
                  <c:v>1000</c:v>
                </c:pt>
                <c:pt idx="159">
                  <c:v>1600</c:v>
                </c:pt>
                <c:pt idx="160">
                  <c:v>1000</c:v>
                </c:pt>
                <c:pt idx="161">
                  <c:v>400</c:v>
                </c:pt>
                <c:pt idx="162">
                  <c:v>1600</c:v>
                </c:pt>
                <c:pt idx="163">
                  <c:v>1000</c:v>
                </c:pt>
                <c:pt idx="164">
                  <c:v>1000</c:v>
                </c:pt>
                <c:pt idx="165">
                  <c:v>1600</c:v>
                </c:pt>
                <c:pt idx="166">
                  <c:v>1000</c:v>
                </c:pt>
                <c:pt idx="167">
                  <c:v>1000</c:v>
                </c:pt>
                <c:pt idx="168">
                  <c:v>1600</c:v>
                </c:pt>
                <c:pt idx="169">
                  <c:v>1000</c:v>
                </c:pt>
                <c:pt idx="170">
                  <c:v>1000</c:v>
                </c:pt>
                <c:pt idx="171">
                  <c:v>1600</c:v>
                </c:pt>
                <c:pt idx="172">
                  <c:v>1000</c:v>
                </c:pt>
                <c:pt idx="173">
                  <c:v>1000</c:v>
                </c:pt>
                <c:pt idx="174">
                  <c:v>1600</c:v>
                </c:pt>
                <c:pt idx="175">
                  <c:v>400</c:v>
                </c:pt>
                <c:pt idx="176">
                  <c:v>1000</c:v>
                </c:pt>
                <c:pt idx="177">
                  <c:v>1600</c:v>
                </c:pt>
                <c:pt idx="178">
                  <c:v>1000</c:v>
                </c:pt>
                <c:pt idx="179">
                  <c:v>1000</c:v>
                </c:pt>
                <c:pt idx="180">
                  <c:v>1600</c:v>
                </c:pt>
                <c:pt idx="181">
                  <c:v>1000</c:v>
                </c:pt>
                <c:pt idx="182">
                  <c:v>400</c:v>
                </c:pt>
                <c:pt idx="183">
                  <c:v>1600</c:v>
                </c:pt>
                <c:pt idx="184">
                  <c:v>1000</c:v>
                </c:pt>
                <c:pt idx="185">
                  <c:v>1000</c:v>
                </c:pt>
                <c:pt idx="186">
                  <c:v>1600</c:v>
                </c:pt>
                <c:pt idx="187">
                  <c:v>1000</c:v>
                </c:pt>
                <c:pt idx="188">
                  <c:v>1000</c:v>
                </c:pt>
                <c:pt idx="189">
                  <c:v>1600</c:v>
                </c:pt>
                <c:pt idx="190">
                  <c:v>1000</c:v>
                </c:pt>
                <c:pt idx="191">
                  <c:v>1000</c:v>
                </c:pt>
                <c:pt idx="192">
                  <c:v>1600</c:v>
                </c:pt>
                <c:pt idx="193">
                  <c:v>1000</c:v>
                </c:pt>
                <c:pt idx="194">
                  <c:v>1000</c:v>
                </c:pt>
                <c:pt idx="195">
                  <c:v>1600</c:v>
                </c:pt>
                <c:pt idx="196">
                  <c:v>400</c:v>
                </c:pt>
                <c:pt idx="197">
                  <c:v>1000</c:v>
                </c:pt>
                <c:pt idx="198">
                  <c:v>1600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Model_3!$M$1</c:f>
              <c:strCache>
                <c:ptCount val="1"/>
                <c:pt idx="0">
                  <c:v>Hourly incom per car_3, $/ hour</c:v>
                </c:pt>
              </c:strCache>
            </c:strRef>
          </c:tx>
          <c:marker>
            <c:symbol val="none"/>
          </c:marker>
          <c:val>
            <c:numRef>
              <c:f>Model_3!$M$2:$M$202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166.66666666666669</c:v>
                </c:pt>
                <c:pt idx="3">
                  <c:v>266.66666666666663</c:v>
                </c:pt>
                <c:pt idx="4">
                  <c:v>166.66666666666669</c:v>
                </c:pt>
                <c:pt idx="5">
                  <c:v>166.66666666666669</c:v>
                </c:pt>
                <c:pt idx="6">
                  <c:v>266.66666666666663</c:v>
                </c:pt>
                <c:pt idx="7">
                  <c:v>60.240963855421683</c:v>
                </c:pt>
                <c:pt idx="8">
                  <c:v>149.37858508604205</c:v>
                </c:pt>
                <c:pt idx="9">
                  <c:v>207.94343938448736</c:v>
                </c:pt>
                <c:pt idx="10">
                  <c:v>119.98464196582836</c:v>
                </c:pt>
                <c:pt idx="11">
                  <c:v>114.48983330280269</c:v>
                </c:pt>
                <c:pt idx="12">
                  <c:v>164.3655489809336</c:v>
                </c:pt>
                <c:pt idx="13">
                  <c:v>102.72846811308349</c:v>
                </c:pt>
                <c:pt idx="14">
                  <c:v>39.877689103928496</c:v>
                </c:pt>
                <c:pt idx="15">
                  <c:v>159.22760433288045</c:v>
                </c:pt>
                <c:pt idx="16">
                  <c:v>97.652802899063758</c:v>
                </c:pt>
                <c:pt idx="17">
                  <c:v>96.920956808120565</c:v>
                </c:pt>
                <c:pt idx="18">
                  <c:v>149.65618555479983</c:v>
                </c:pt>
                <c:pt idx="19">
                  <c:v>93.306515681883667</c:v>
                </c:pt>
                <c:pt idx="20">
                  <c:v>93.557004619191048</c:v>
                </c:pt>
                <c:pt idx="21">
                  <c:v>145.2368307738891</c:v>
                </c:pt>
                <c:pt idx="22">
                  <c:v>90.773019233680685</c:v>
                </c:pt>
                <c:pt idx="23">
                  <c:v>91.109284680633209</c:v>
                </c:pt>
                <c:pt idx="24">
                  <c:v>142.41548063975321</c:v>
                </c:pt>
                <c:pt idx="25">
                  <c:v>89.009675399845761</c:v>
                </c:pt>
                <c:pt idx="26">
                  <c:v>89.402701282736928</c:v>
                </c:pt>
                <c:pt idx="27">
                  <c:v>140.23583995944796</c:v>
                </c:pt>
                <c:pt idx="28">
                  <c:v>35.058959989861989</c:v>
                </c:pt>
                <c:pt idx="29">
                  <c:v>89.984884775664639</c:v>
                </c:pt>
                <c:pt idx="30">
                  <c:v>141.30591571657479</c:v>
                </c:pt>
                <c:pt idx="31">
                  <c:v>88.316197322859239</c:v>
                </c:pt>
                <c:pt idx="32">
                  <c:v>88.730882974074248</c:v>
                </c:pt>
                <c:pt idx="33">
                  <c:v>139.60817463120966</c:v>
                </c:pt>
                <c:pt idx="34">
                  <c:v>87.255109144506051</c:v>
                </c:pt>
                <c:pt idx="35">
                  <c:v>35.080884475303193</c:v>
                </c:pt>
                <c:pt idx="36">
                  <c:v>142.79000068261573</c:v>
                </c:pt>
                <c:pt idx="37">
                  <c:v>89.243750426634833</c:v>
                </c:pt>
                <c:pt idx="38">
                  <c:v>89.629380822327292</c:v>
                </c:pt>
                <c:pt idx="39">
                  <c:v>140.98875755096222</c:v>
                </c:pt>
                <c:pt idx="40">
                  <c:v>88.117973469351384</c:v>
                </c:pt>
                <c:pt idx="41">
                  <c:v>88.538781529802762</c:v>
                </c:pt>
                <c:pt idx="42">
                  <c:v>139.13713446949984</c:v>
                </c:pt>
                <c:pt idx="43">
                  <c:v>86.960709043437419</c:v>
                </c:pt>
                <c:pt idx="44">
                  <c:v>87.416649494319117</c:v>
                </c:pt>
                <c:pt idx="45">
                  <c:v>137.6010030494304</c:v>
                </c:pt>
                <c:pt idx="46">
                  <c:v>86.000626905893995</c:v>
                </c:pt>
                <c:pt idx="47">
                  <c:v>86.484920775071771</c:v>
                </c:pt>
                <c:pt idx="48">
                  <c:v>136.34399322570292</c:v>
                </c:pt>
                <c:pt idx="49">
                  <c:v>34.085998306425729</c:v>
                </c:pt>
                <c:pt idx="50">
                  <c:v>87.522581192031339</c:v>
                </c:pt>
                <c:pt idx="51">
                  <c:v>137.99998789858151</c:v>
                </c:pt>
                <c:pt idx="52">
                  <c:v>86.249992436613439</c:v>
                </c:pt>
                <c:pt idx="53">
                  <c:v>86.726991150320103</c:v>
                </c:pt>
                <c:pt idx="54">
                  <c:v>136.90094588450717</c:v>
                </c:pt>
                <c:pt idx="55">
                  <c:v>85.563091177816958</c:v>
                </c:pt>
                <c:pt idx="56">
                  <c:v>34.42402708726727</c:v>
                </c:pt>
                <c:pt idx="57">
                  <c:v>140.27459577840727</c:v>
                </c:pt>
                <c:pt idx="58">
                  <c:v>87.671622361504546</c:v>
                </c:pt>
                <c:pt idx="59">
                  <c:v>88.106104492882537</c:v>
                </c:pt>
                <c:pt idx="60">
                  <c:v>138.92073724795483</c:v>
                </c:pt>
                <c:pt idx="61">
                  <c:v>86.825460779971777</c:v>
                </c:pt>
                <c:pt idx="62">
                  <c:v>87.285438955514493</c:v>
                </c:pt>
                <c:pt idx="63">
                  <c:v>137.45650610950116</c:v>
                </c:pt>
                <c:pt idx="64">
                  <c:v>85.91031631843822</c:v>
                </c:pt>
                <c:pt idx="65">
                  <c:v>86.397240232774124</c:v>
                </c:pt>
                <c:pt idx="66">
                  <c:v>136.22829292449507</c:v>
                </c:pt>
                <c:pt idx="67">
                  <c:v>85.142683077809423</c:v>
                </c:pt>
                <c:pt idx="68">
                  <c:v>85.651704887585751</c:v>
                </c:pt>
                <c:pt idx="69">
                  <c:v>135.21596505418387</c:v>
                </c:pt>
                <c:pt idx="70">
                  <c:v>33.803991263545967</c:v>
                </c:pt>
                <c:pt idx="71">
                  <c:v>86.808529427826144</c:v>
                </c:pt>
                <c:pt idx="72">
                  <c:v>137.03099021087758</c:v>
                </c:pt>
                <c:pt idx="73">
                  <c:v>85.644368881798499</c:v>
                </c:pt>
                <c:pt idx="74">
                  <c:v>86.139000769775038</c:v>
                </c:pt>
                <c:pt idx="75">
                  <c:v>136.09986572694052</c:v>
                </c:pt>
                <c:pt idx="76">
                  <c:v>85.062416079337837</c:v>
                </c:pt>
                <c:pt idx="77">
                  <c:v>34.229488776197456</c:v>
                </c:pt>
                <c:pt idx="78">
                  <c:v>139.52752348997834</c:v>
                </c:pt>
                <c:pt idx="79">
                  <c:v>87.204702181236442</c:v>
                </c:pt>
                <c:pt idx="80">
                  <c:v>87.653322326826782</c:v>
                </c:pt>
                <c:pt idx="81">
                  <c:v>138.30258376417311</c:v>
                </c:pt>
                <c:pt idx="82">
                  <c:v>86.439114852608213</c:v>
                </c:pt>
                <c:pt idx="83">
                  <c:v>86.910548438798344</c:v>
                </c:pt>
                <c:pt idx="84">
                  <c:v>136.9510669717275</c:v>
                </c:pt>
                <c:pt idx="85">
                  <c:v>85.594416857329705</c:v>
                </c:pt>
                <c:pt idx="86">
                  <c:v>86.090490343906652</c:v>
                </c:pt>
                <c:pt idx="87">
                  <c:v>135.81336564053998</c:v>
                </c:pt>
                <c:pt idx="88">
                  <c:v>84.883353525337498</c:v>
                </c:pt>
                <c:pt idx="89">
                  <c:v>85.39973657607743</c:v>
                </c:pt>
                <c:pt idx="90">
                  <c:v>134.87360251767814</c:v>
                </c:pt>
                <c:pt idx="91">
                  <c:v>33.718400629419534</c:v>
                </c:pt>
                <c:pt idx="92">
                  <c:v>86.591778193964245</c:v>
                </c:pt>
                <c:pt idx="93">
                  <c:v>136.73597277079048</c:v>
                </c:pt>
                <c:pt idx="94">
                  <c:v>85.459982981744048</c:v>
                </c:pt>
                <c:pt idx="95">
                  <c:v>85.959926499419879</c:v>
                </c:pt>
                <c:pt idx="96">
                  <c:v>135.85530279042274</c:v>
                </c:pt>
                <c:pt idx="97">
                  <c:v>84.909564244014206</c:v>
                </c:pt>
                <c:pt idx="98">
                  <c:v>34.170082270115259</c:v>
                </c:pt>
                <c:pt idx="99">
                  <c:v>139.29920140362216</c:v>
                </c:pt>
                <c:pt idx="100">
                  <c:v>87.062000877263856</c:v>
                </c:pt>
                <c:pt idx="101">
                  <c:v>87.514907998427844</c:v>
                </c:pt>
                <c:pt idx="102">
                  <c:v>138.1133032502901</c:v>
                </c:pt>
                <c:pt idx="103">
                  <c:v>86.32081453143131</c:v>
                </c:pt>
                <c:pt idx="104">
                  <c:v>86.795732500533333</c:v>
                </c:pt>
                <c:pt idx="105">
                  <c:v>136.79601873140504</c:v>
                </c:pt>
                <c:pt idx="106">
                  <c:v>85.497511707128169</c:v>
                </c:pt>
                <c:pt idx="107">
                  <c:v>85.996376283239002</c:v>
                </c:pt>
                <c:pt idx="108">
                  <c:v>135.68589040952867</c:v>
                </c:pt>
                <c:pt idx="109">
                  <c:v>84.80368150595541</c:v>
                </c:pt>
                <c:pt idx="110">
                  <c:v>85.322315538584888</c:v>
                </c:pt>
                <c:pt idx="111">
                  <c:v>134.76829173304498</c:v>
                </c:pt>
                <c:pt idx="112">
                  <c:v>33.692072933261244</c:v>
                </c:pt>
                <c:pt idx="113">
                  <c:v>86.525102405039291</c:v>
                </c:pt>
                <c:pt idx="114">
                  <c:v>136.64513960704551</c:v>
                </c:pt>
                <c:pt idx="115">
                  <c:v>85.403212254403442</c:v>
                </c:pt>
                <c:pt idx="116">
                  <c:v>85.904785824407355</c:v>
                </c:pt>
                <c:pt idx="117">
                  <c:v>135.77994151013894</c:v>
                </c:pt>
                <c:pt idx="118">
                  <c:v>84.862463443836859</c:v>
                </c:pt>
                <c:pt idx="119">
                  <c:v>34.151774873778599</c:v>
                </c:pt>
                <c:pt idx="120">
                  <c:v>139.22882146191847</c:v>
                </c:pt>
                <c:pt idx="121">
                  <c:v>87.018013413699052</c:v>
                </c:pt>
                <c:pt idx="122">
                  <c:v>87.472238785936142</c:v>
                </c:pt>
                <c:pt idx="123">
                  <c:v>138.05492400107696</c:v>
                </c:pt>
                <c:pt idx="124">
                  <c:v>86.284327500673101</c:v>
                </c:pt>
                <c:pt idx="125">
                  <c:v>86.760317943412829</c:v>
                </c:pt>
                <c:pt idx="126">
                  <c:v>136.74817110918903</c:v>
                </c:pt>
                <c:pt idx="127">
                  <c:v>85.46760694324314</c:v>
                </c:pt>
                <c:pt idx="128">
                  <c:v>85.967331363006195</c:v>
                </c:pt>
                <c:pt idx="129">
                  <c:v>135.64653358082813</c:v>
                </c:pt>
                <c:pt idx="130">
                  <c:v>84.779083488017577</c:v>
                </c:pt>
                <c:pt idx="131">
                  <c:v>85.298411487962781</c:v>
                </c:pt>
                <c:pt idx="132">
                  <c:v>134.73576574208681</c:v>
                </c:pt>
                <c:pt idx="133">
                  <c:v>33.683941435521703</c:v>
                </c:pt>
                <c:pt idx="134">
                  <c:v>86.504508817949286</c:v>
                </c:pt>
                <c:pt idx="135">
                  <c:v>136.61707699559304</c:v>
                </c:pt>
                <c:pt idx="136">
                  <c:v>85.385673122245663</c:v>
                </c:pt>
                <c:pt idx="137">
                  <c:v>85.887749782290939</c:v>
                </c:pt>
                <c:pt idx="138">
                  <c:v>135.75665293614446</c:v>
                </c:pt>
                <c:pt idx="139">
                  <c:v>84.847908085090282</c:v>
                </c:pt>
                <c:pt idx="140">
                  <c:v>34.146117277043729</c:v>
                </c:pt>
                <c:pt idx="141">
                  <c:v>139.20707003892298</c:v>
                </c:pt>
                <c:pt idx="142">
                  <c:v>87.004418774326865</c:v>
                </c:pt>
                <c:pt idx="143">
                  <c:v>87.459051256134629</c:v>
                </c:pt>
                <c:pt idx="144">
                  <c:v>138.03687825631999</c:v>
                </c:pt>
                <c:pt idx="145">
                  <c:v>86.273048910199989</c:v>
                </c:pt>
                <c:pt idx="146">
                  <c:v>86.749370657434199</c:v>
                </c:pt>
                <c:pt idx="147">
                  <c:v>136.73337829079389</c:v>
                </c:pt>
                <c:pt idx="148">
                  <c:v>85.458361431746184</c:v>
                </c:pt>
                <c:pt idx="149">
                  <c:v>85.95835154377518</c:v>
                </c:pt>
                <c:pt idx="150">
                  <c:v>135.63436408517222</c:v>
                </c:pt>
                <c:pt idx="151">
                  <c:v>84.771477553232629</c:v>
                </c:pt>
                <c:pt idx="152">
                  <c:v>85.291020038498203</c:v>
                </c:pt>
                <c:pt idx="153">
                  <c:v>134.72570723696697</c:v>
                </c:pt>
                <c:pt idx="154">
                  <c:v>33.681426809241742</c:v>
                </c:pt>
                <c:pt idx="155">
                  <c:v>86.498140323055992</c:v>
                </c:pt>
                <c:pt idx="156">
                  <c:v>136.60839799196503</c:v>
                </c:pt>
                <c:pt idx="157">
                  <c:v>85.380248744978132</c:v>
                </c:pt>
                <c:pt idx="158">
                  <c:v>85.882480948430228</c:v>
                </c:pt>
                <c:pt idx="159">
                  <c:v>135.74944984416399</c:v>
                </c:pt>
                <c:pt idx="160">
                  <c:v>84.843406152602498</c:v>
                </c:pt>
                <c:pt idx="161">
                  <c:v>34.144367384490224</c:v>
                </c:pt>
                <c:pt idx="162">
                  <c:v>139.20034217225088</c:v>
                </c:pt>
                <c:pt idx="163">
                  <c:v>87.000213857656789</c:v>
                </c:pt>
                <c:pt idx="164">
                  <c:v>87.454972232097518</c:v>
                </c:pt>
                <c:pt idx="165">
                  <c:v>138.03129627379982</c:v>
                </c:pt>
                <c:pt idx="166">
                  <c:v>86.269560171124894</c:v>
                </c:pt>
                <c:pt idx="167">
                  <c:v>86.745984378688135</c:v>
                </c:pt>
                <c:pt idx="168">
                  <c:v>136.72880227475562</c:v>
                </c:pt>
                <c:pt idx="169">
                  <c:v>85.455501421722275</c:v>
                </c:pt>
                <c:pt idx="170">
                  <c:v>85.955573709567815</c:v>
                </c:pt>
                <c:pt idx="171">
                  <c:v>135.63059940287758</c:v>
                </c:pt>
                <c:pt idx="172">
                  <c:v>84.769124626798487</c:v>
                </c:pt>
                <c:pt idx="173">
                  <c:v>85.288733454793743</c:v>
                </c:pt>
                <c:pt idx="174">
                  <c:v>134.7225954863749</c:v>
                </c:pt>
                <c:pt idx="175">
                  <c:v>33.680648871593725</c:v>
                </c:pt>
                <c:pt idx="176">
                  <c:v>86.496170130236123</c:v>
                </c:pt>
                <c:pt idx="177">
                  <c:v>136.60571293668261</c:v>
                </c:pt>
                <c:pt idx="178">
                  <c:v>85.378570585426644</c:v>
                </c:pt>
                <c:pt idx="179">
                  <c:v>85.880850905256523</c:v>
                </c:pt>
                <c:pt idx="180">
                  <c:v>135.74722134270718</c:v>
                </c:pt>
                <c:pt idx="181">
                  <c:v>84.842013339191993</c:v>
                </c:pt>
                <c:pt idx="182">
                  <c:v>34.143825999295309</c:v>
                </c:pt>
                <c:pt idx="183">
                  <c:v>139.19826067636833</c:v>
                </c:pt>
                <c:pt idx="184">
                  <c:v>86.998912922730213</c:v>
                </c:pt>
                <c:pt idx="185">
                  <c:v>87.453710243573028</c:v>
                </c:pt>
                <c:pt idx="186">
                  <c:v>138.02956926694026</c:v>
                </c:pt>
                <c:pt idx="187">
                  <c:v>86.268480791837661</c:v>
                </c:pt>
                <c:pt idx="188">
                  <c:v>86.744936697627381</c:v>
                </c:pt>
                <c:pt idx="189">
                  <c:v>136.72738648023562</c:v>
                </c:pt>
                <c:pt idx="190">
                  <c:v>85.454616550147264</c:v>
                </c:pt>
                <c:pt idx="191">
                  <c:v>85.954714261449396</c:v>
                </c:pt>
                <c:pt idx="192">
                  <c:v>135.62943461473532</c:v>
                </c:pt>
                <c:pt idx="193">
                  <c:v>84.768396634209566</c:v>
                </c:pt>
                <c:pt idx="194">
                  <c:v>85.28802598768786</c:v>
                </c:pt>
                <c:pt idx="195">
                  <c:v>134.72163270382089</c:v>
                </c:pt>
                <c:pt idx="196">
                  <c:v>33.680408175955222</c:v>
                </c:pt>
                <c:pt idx="197">
                  <c:v>86.495560547940599</c:v>
                </c:pt>
                <c:pt idx="198">
                  <c:v>136.60488216749209</c:v>
                </c:pt>
                <c:pt idx="199">
                  <c:v>85.378051354682555</c:v>
                </c:pt>
                <c:pt idx="200">
                  <c:v>85.880346561508333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95136"/>
        <c:axId val="208797056"/>
      </c:lineChart>
      <c:catAx>
        <c:axId val="20879513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9015209512858954"/>
              <c:y val="0.875435567421554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797056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8797056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08795136"/>
        <c:crossesAt val="1"/>
        <c:crossBetween val="midCat"/>
      </c:valAx>
    </c:plotArea>
    <c:legend>
      <c:legendPos val="b"/>
      <c:layout>
        <c:manualLayout>
          <c:xMode val="edge"/>
          <c:yMode val="edge"/>
          <c:x val="2.6365096229884473E-3"/>
          <c:y val="0.9301842535902205"/>
          <c:w val="0.9865645907015782"/>
          <c:h val="6.2602944289450235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73390058488368E-2"/>
          <c:y val="2.5742850900972308E-2"/>
          <c:w val="0.89249706550596719"/>
          <c:h val="0.79260209587630781"/>
        </c:manualLayout>
      </c:layout>
      <c:lineChart>
        <c:grouping val="standard"/>
        <c:varyColors val="0"/>
        <c:ser>
          <c:idx val="0"/>
          <c:order val="0"/>
          <c:tx>
            <c:strRef>
              <c:f>Model_4!$H$1</c:f>
              <c:strCache>
                <c:ptCount val="1"/>
                <c:pt idx="0">
                  <c:v>Number of cars_4, car</c:v>
                </c:pt>
              </c:strCache>
            </c:strRef>
          </c:tx>
          <c:marker>
            <c:symbol val="none"/>
          </c:marker>
          <c:cat>
            <c:numRef>
              <c:f>Model_4!$F$2:$F$202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Model_4!$H$2:$H$202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351.40190166975884</c:v>
                </c:pt>
                <c:pt idx="5">
                  <c:v>364.08806793330041</c:v>
                </c:pt>
                <c:pt idx="6">
                  <c:v>375.28689129805826</c:v>
                </c:pt>
                <c:pt idx="7">
                  <c:v>385.25631295336137</c:v>
                </c:pt>
                <c:pt idx="8">
                  <c:v>394.19143094016482</c:v>
                </c:pt>
                <c:pt idx="9">
                  <c:v>402.24400850184418</c:v>
                </c:pt>
                <c:pt idx="10">
                  <c:v>409.53480633340774</c:v>
                </c:pt>
                <c:pt idx="11">
                  <c:v>416.16172977929506</c:v>
                </c:pt>
                <c:pt idx="12">
                  <c:v>407.51526058812328</c:v>
                </c:pt>
                <c:pt idx="13">
                  <c:v>399.21465016459837</c:v>
                </c:pt>
                <c:pt idx="14">
                  <c:v>391.24606415801441</c:v>
                </c:pt>
                <c:pt idx="15">
                  <c:v>383.59622159169385</c:v>
                </c:pt>
                <c:pt idx="16">
                  <c:v>376.2523727280261</c:v>
                </c:pt>
                <c:pt idx="17">
                  <c:v>369.20227781890503</c:v>
                </c:pt>
                <c:pt idx="18">
                  <c:v>362.43418670614881</c:v>
                </c:pt>
                <c:pt idx="19">
                  <c:v>355.93681923790285</c:v>
                </c:pt>
                <c:pt idx="20">
                  <c:v>349.69934646838675</c:v>
                </c:pt>
                <c:pt idx="21">
                  <c:v>343.71137260965128</c:v>
                </c:pt>
                <c:pt idx="22">
                  <c:v>407.43301774593368</c:v>
                </c:pt>
                <c:pt idx="23">
                  <c:v>453.68163856817989</c:v>
                </c:pt>
                <c:pt idx="24">
                  <c:v>490.322489631032</c:v>
                </c:pt>
                <c:pt idx="25">
                  <c:v>520.63829364176797</c:v>
                </c:pt>
                <c:pt idx="26">
                  <c:v>546.39391336654683</c:v>
                </c:pt>
                <c:pt idx="27">
                  <c:v>568.67288072070812</c:v>
                </c:pt>
                <c:pt idx="28">
                  <c:v>588.19852033153984</c:v>
                </c:pt>
                <c:pt idx="29">
                  <c:v>605.48260159436882</c:v>
                </c:pt>
                <c:pt idx="30">
                  <c:v>620.90308617788014</c:v>
                </c:pt>
                <c:pt idx="31">
                  <c:v>634.74848661932504</c:v>
                </c:pt>
                <c:pt idx="32">
                  <c:v>617.35854715455207</c:v>
                </c:pt>
                <c:pt idx="33">
                  <c:v>600.66420526836998</c:v>
                </c:pt>
                <c:pt idx="34">
                  <c:v>584.63763705763517</c:v>
                </c:pt>
                <c:pt idx="35">
                  <c:v>569.25213157532971</c:v>
                </c:pt>
                <c:pt idx="36">
                  <c:v>554.48204631231647</c:v>
                </c:pt>
                <c:pt idx="37">
                  <c:v>540.30276445982383</c:v>
                </c:pt>
                <c:pt idx="38">
                  <c:v>526.69065388143088</c:v>
                </c:pt>
                <c:pt idx="39">
                  <c:v>513.62302772617363</c:v>
                </c:pt>
                <c:pt idx="40">
                  <c:v>501.07810661712671</c:v>
                </c:pt>
                <c:pt idx="41">
                  <c:v>489.03498235244166</c:v>
                </c:pt>
                <c:pt idx="42">
                  <c:v>519.55697236485673</c:v>
                </c:pt>
                <c:pt idx="43">
                  <c:v>545.46609502606464</c:v>
                </c:pt>
                <c:pt idx="44">
                  <c:v>567.86460439293023</c:v>
                </c:pt>
                <c:pt idx="45">
                  <c:v>587.48635736528024</c:v>
                </c:pt>
                <c:pt idx="46">
                  <c:v>604.84957732533815</c:v>
                </c:pt>
                <c:pt idx="47">
                  <c:v>620.33643660331904</c:v>
                </c:pt>
                <c:pt idx="48">
                  <c:v>634.23833005046356</c:v>
                </c:pt>
                <c:pt idx="49">
                  <c:v>646.78339360243251</c:v>
                </c:pt>
                <c:pt idx="50">
                  <c:v>658.15412015451818</c:v>
                </c:pt>
                <c:pt idx="51">
                  <c:v>668.499116902369</c:v>
                </c:pt>
                <c:pt idx="52">
                  <c:v>649.75915222627418</c:v>
                </c:pt>
                <c:pt idx="53">
                  <c:v>631.76878613722317</c:v>
                </c:pt>
                <c:pt idx="54">
                  <c:v>614.49803469173423</c:v>
                </c:pt>
                <c:pt idx="55">
                  <c:v>597.91811330406483</c:v>
                </c:pt>
                <c:pt idx="56">
                  <c:v>582.00138877190227</c:v>
                </c:pt>
                <c:pt idx="57">
                  <c:v>566.72133322102616</c:v>
                </c:pt>
                <c:pt idx="58">
                  <c:v>552.05247989218515</c:v>
                </c:pt>
                <c:pt idx="59">
                  <c:v>537.97038069649773</c:v>
                </c:pt>
                <c:pt idx="60">
                  <c:v>524.4515654686378</c:v>
                </c:pt>
                <c:pt idx="61">
                  <c:v>511.47350284989227</c:v>
                </c:pt>
                <c:pt idx="62">
                  <c:v>538.55070584484326</c:v>
                </c:pt>
                <c:pt idx="63">
                  <c:v>561.85318411336686</c:v>
                </c:pt>
                <c:pt idx="64">
                  <c:v>582.19844064260974</c:v>
                </c:pt>
                <c:pt idx="65">
                  <c:v>600.15533320593477</c:v>
                </c:pt>
                <c:pt idx="66">
                  <c:v>616.13876861901906</c:v>
                </c:pt>
                <c:pt idx="67">
                  <c:v>630.46239108164662</c:v>
                </c:pt>
                <c:pt idx="68">
                  <c:v>643.3700685945264</c:v>
                </c:pt>
                <c:pt idx="69">
                  <c:v>655.05577962532811</c:v>
                </c:pt>
                <c:pt idx="70">
                  <c:v>665.67674167830569</c:v>
                </c:pt>
                <c:pt idx="71">
                  <c:v>675.36239838787594</c:v>
                </c:pt>
                <c:pt idx="72">
                  <c:v>656.34790245236093</c:v>
                </c:pt>
                <c:pt idx="73">
                  <c:v>638.09398635426646</c:v>
                </c:pt>
                <c:pt idx="74">
                  <c:v>620.5702269000958</c:v>
                </c:pt>
                <c:pt idx="75">
                  <c:v>603.74741782409194</c:v>
                </c:pt>
                <c:pt idx="76">
                  <c:v>587.59752111112823</c:v>
                </c:pt>
                <c:pt idx="77">
                  <c:v>572.09362026668305</c:v>
                </c:pt>
                <c:pt idx="78">
                  <c:v>557.20987545601577</c:v>
                </c:pt>
                <c:pt idx="79">
                  <c:v>542.92148043777513</c:v>
                </c:pt>
                <c:pt idx="80">
                  <c:v>529.20462122026413</c:v>
                </c:pt>
                <c:pt idx="81">
                  <c:v>516.03643637145353</c:v>
                </c:pt>
                <c:pt idx="82">
                  <c:v>542.44978646357549</c:v>
                </c:pt>
                <c:pt idx="83">
                  <c:v>565.23974888635269</c:v>
                </c:pt>
                <c:pt idx="84">
                  <c:v>585.17552317621198</c:v>
                </c:pt>
                <c:pt idx="85">
                  <c:v>602.79685981649504</c:v>
                </c:pt>
                <c:pt idx="86">
                  <c:v>618.49991230367925</c:v>
                </c:pt>
                <c:pt idx="87">
                  <c:v>632.58561229508985</c:v>
                </c:pt>
                <c:pt idx="88">
                  <c:v>645.28885823310702</c:v>
                </c:pt>
                <c:pt idx="89">
                  <c:v>656.79709165456211</c:v>
                </c:pt>
                <c:pt idx="90">
                  <c:v>667.26263677941199</c:v>
                </c:pt>
                <c:pt idx="91">
                  <c:v>676.81119095193424</c:v>
                </c:pt>
                <c:pt idx="92">
                  <c:v>657.73874331385684</c:v>
                </c:pt>
                <c:pt idx="93">
                  <c:v>639.42919358130257</c:v>
                </c:pt>
                <c:pt idx="94">
                  <c:v>621.85202583805051</c:v>
                </c:pt>
                <c:pt idx="95">
                  <c:v>604.97794480452853</c:v>
                </c:pt>
                <c:pt idx="96">
                  <c:v>588.77882701234739</c:v>
                </c:pt>
                <c:pt idx="97">
                  <c:v>573.22767393185347</c:v>
                </c:pt>
                <c:pt idx="98">
                  <c:v>558.29856697457933</c:v>
                </c:pt>
                <c:pt idx="99">
                  <c:v>543.96662429559615</c:v>
                </c:pt>
                <c:pt idx="100">
                  <c:v>530.20795932377234</c:v>
                </c:pt>
                <c:pt idx="101">
                  <c:v>516.99964095082146</c:v>
                </c:pt>
                <c:pt idx="102">
                  <c:v>543.27435404226196</c:v>
                </c:pt>
                <c:pt idx="103">
                  <c:v>565.95687331504325</c:v>
                </c:pt>
                <c:pt idx="104">
                  <c:v>585.80656612834071</c:v>
                </c:pt>
                <c:pt idx="105">
                  <c:v>603.35721410722863</c:v>
                </c:pt>
                <c:pt idx="106">
                  <c:v>619.00110383318383</c:v>
                </c:pt>
                <c:pt idx="107">
                  <c:v>633.03653440383516</c:v>
                </c:pt>
                <c:pt idx="108">
                  <c:v>645.69654044308118</c:v>
                </c:pt>
                <c:pt idx="109">
                  <c:v>657.1672013415423</c:v>
                </c:pt>
                <c:pt idx="110">
                  <c:v>667.59981928353659</c:v>
                </c:pt>
                <c:pt idx="111">
                  <c:v>677.11930759198253</c:v>
                </c:pt>
                <c:pt idx="112">
                  <c:v>658.03453528830323</c:v>
                </c:pt>
                <c:pt idx="113">
                  <c:v>639.71315387677112</c:v>
                </c:pt>
                <c:pt idx="114">
                  <c:v>622.12462772170022</c:v>
                </c:pt>
                <c:pt idx="115">
                  <c:v>605.2396426128322</c:v>
                </c:pt>
                <c:pt idx="116">
                  <c:v>589.0300569083189</c:v>
                </c:pt>
                <c:pt idx="117">
                  <c:v>573.46885463198612</c:v>
                </c:pt>
                <c:pt idx="118">
                  <c:v>558.53010044670668</c:v>
                </c:pt>
                <c:pt idx="119">
                  <c:v>544.18889642883846</c:v>
                </c:pt>
                <c:pt idx="120">
                  <c:v>530.42134057168494</c:v>
                </c:pt>
                <c:pt idx="121">
                  <c:v>517.20448694881759</c:v>
                </c:pt>
                <c:pt idx="122">
                  <c:v>543.44978251176974</c:v>
                </c:pt>
                <c:pt idx="123">
                  <c:v>566.10948509278671</c:v>
                </c:pt>
                <c:pt idx="124">
                  <c:v>585.94088698796281</c:v>
                </c:pt>
                <c:pt idx="125">
                  <c:v>603.47650816196165</c:v>
                </c:pt>
                <c:pt idx="126">
                  <c:v>619.10781688838881</c:v>
                </c:pt>
                <c:pt idx="127">
                  <c:v>633.13255466830708</c:v>
                </c:pt>
                <c:pt idx="128">
                  <c:v>645.78336107032101</c:v>
                </c:pt>
                <c:pt idx="129">
                  <c:v>657.24602659387347</c:v>
                </c:pt>
                <c:pt idx="130">
                  <c:v>667.67163655762636</c:v>
                </c:pt>
                <c:pt idx="131">
                  <c:v>677.18493785342844</c:v>
                </c:pt>
                <c:pt idx="132">
                  <c:v>658.0975403392913</c:v>
                </c:pt>
                <c:pt idx="133">
                  <c:v>639.77363872571959</c:v>
                </c:pt>
                <c:pt idx="134">
                  <c:v>622.1826931766908</c:v>
                </c:pt>
                <c:pt idx="135">
                  <c:v>605.29538544962315</c:v>
                </c:pt>
                <c:pt idx="136">
                  <c:v>589.08357003163826</c:v>
                </c:pt>
                <c:pt idx="137">
                  <c:v>573.52022723037271</c:v>
                </c:pt>
                <c:pt idx="138">
                  <c:v>558.57941814115782</c:v>
                </c:pt>
                <c:pt idx="139">
                  <c:v>544.23624141551147</c:v>
                </c:pt>
                <c:pt idx="140">
                  <c:v>530.46679175889096</c:v>
                </c:pt>
                <c:pt idx="141">
                  <c:v>517.2481200885353</c:v>
                </c:pt>
                <c:pt idx="142">
                  <c:v>543.48715259275639</c:v>
                </c:pt>
                <c:pt idx="143">
                  <c:v>566.14199662505632</c:v>
                </c:pt>
                <c:pt idx="144">
                  <c:v>585.96950320275948</c:v>
                </c:pt>
                <c:pt idx="145">
                  <c:v>603.5019239006208</c:v>
                </c:pt>
                <c:pt idx="146">
                  <c:v>619.13055287301722</c:v>
                </c:pt>
                <c:pt idx="147">
                  <c:v>633.1530129532191</c:v>
                </c:pt>
                <c:pt idx="148">
                  <c:v>645.80185962124756</c:v>
                </c:pt>
                <c:pt idx="149">
                  <c:v>657.26282187756715</c:v>
                </c:pt>
                <c:pt idx="150">
                  <c:v>667.68693886976939</c:v>
                </c:pt>
                <c:pt idx="151">
                  <c:v>677.19892205308849</c:v>
                </c:pt>
                <c:pt idx="152">
                  <c:v>658.11096517096496</c:v>
                </c:pt>
                <c:pt idx="153">
                  <c:v>639.78652656412635</c:v>
                </c:pt>
                <c:pt idx="154">
                  <c:v>622.19506550156132</c:v>
                </c:pt>
                <c:pt idx="155">
                  <c:v>605.3072628814989</c:v>
                </c:pt>
                <c:pt idx="156">
                  <c:v>589.09497236623895</c:v>
                </c:pt>
                <c:pt idx="157">
                  <c:v>573.53117347158934</c:v>
                </c:pt>
                <c:pt idx="158">
                  <c:v>558.58992653272571</c:v>
                </c:pt>
                <c:pt idx="159">
                  <c:v>544.24632947141663</c:v>
                </c:pt>
                <c:pt idx="160">
                  <c:v>530.47647629255994</c:v>
                </c:pt>
                <c:pt idx="161">
                  <c:v>517.25741724085754</c:v>
                </c:pt>
                <c:pt idx="162">
                  <c:v>543.49511537737214</c:v>
                </c:pt>
                <c:pt idx="163">
                  <c:v>566.14892424065374</c:v>
                </c:pt>
                <c:pt idx="164">
                  <c:v>585.97560085494558</c:v>
                </c:pt>
                <c:pt idx="165">
                  <c:v>603.50733962354605</c:v>
                </c:pt>
                <c:pt idx="166">
                  <c:v>619.13539760864535</c:v>
                </c:pt>
                <c:pt idx="167">
                  <c:v>633.15737236298264</c:v>
                </c:pt>
                <c:pt idx="168">
                  <c:v>645.80580145208705</c:v>
                </c:pt>
                <c:pt idx="169">
                  <c:v>657.26640077414027</c:v>
                </c:pt>
                <c:pt idx="170">
                  <c:v>667.69019963982362</c:v>
                </c:pt>
                <c:pt idx="171">
                  <c:v>677.20190195433167</c:v>
                </c:pt>
                <c:pt idx="172">
                  <c:v>658.11382587615844</c:v>
                </c:pt>
                <c:pt idx="173">
                  <c:v>639.78927284111205</c:v>
                </c:pt>
                <c:pt idx="174">
                  <c:v>622.19770192746762</c:v>
                </c:pt>
                <c:pt idx="175">
                  <c:v>605.30979385036892</c:v>
                </c:pt>
                <c:pt idx="176">
                  <c:v>589.09740209635413</c:v>
                </c:pt>
                <c:pt idx="177">
                  <c:v>573.53350601249997</c:v>
                </c:pt>
                <c:pt idx="178">
                  <c:v>558.59216577199993</c:v>
                </c:pt>
                <c:pt idx="179">
                  <c:v>544.2484791411199</c:v>
                </c:pt>
                <c:pt idx="180">
                  <c:v>530.47853997547509</c:v>
                </c:pt>
                <c:pt idx="181">
                  <c:v>517.25939837645603</c:v>
                </c:pt>
                <c:pt idx="182">
                  <c:v>543.49681217797945</c:v>
                </c:pt>
                <c:pt idx="183">
                  <c:v>566.150400459607</c:v>
                </c:pt>
                <c:pt idx="184">
                  <c:v>585.97690021802191</c:v>
                </c:pt>
                <c:pt idx="185">
                  <c:v>603.50849367454327</c:v>
                </c:pt>
                <c:pt idx="186">
                  <c:v>619.1364299877448</c:v>
                </c:pt>
                <c:pt idx="187">
                  <c:v>633.15830132353437</c:v>
                </c:pt>
                <c:pt idx="188">
                  <c:v>645.8066414301552</c:v>
                </c:pt>
                <c:pt idx="189">
                  <c:v>657.26716341389044</c:v>
                </c:pt>
                <c:pt idx="190">
                  <c:v>667.69089448931459</c:v>
                </c:pt>
                <c:pt idx="191">
                  <c:v>677.2025369528086</c:v>
                </c:pt>
                <c:pt idx="192">
                  <c:v>658.11443547469628</c:v>
                </c:pt>
                <c:pt idx="193">
                  <c:v>639.78985805570846</c:v>
                </c:pt>
                <c:pt idx="194">
                  <c:v>622.19826373348008</c:v>
                </c:pt>
                <c:pt idx="195">
                  <c:v>605.31033318414086</c:v>
                </c:pt>
                <c:pt idx="196">
                  <c:v>589.09791985677521</c:v>
                </c:pt>
                <c:pt idx="197">
                  <c:v>573.53400306250421</c:v>
                </c:pt>
                <c:pt idx="198">
                  <c:v>558.592642940004</c:v>
                </c:pt>
                <c:pt idx="199">
                  <c:v>544.24893722240381</c:v>
                </c:pt>
                <c:pt idx="200">
                  <c:v>530.47897973350769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Model_4!$J$1</c:f>
              <c:strCache>
                <c:ptCount val="1"/>
                <c:pt idx="0">
                  <c:v>Number of passengers_4, people</c:v>
                </c:pt>
              </c:strCache>
            </c:strRef>
          </c:tx>
          <c:marker>
            <c:symbol val="none"/>
          </c:marker>
          <c:val>
            <c:numRef>
              <c:f>Model_4!$J$2:$J$202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1600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1600</c:v>
                </c:pt>
                <c:pt idx="26">
                  <c:v>1600</c:v>
                </c:pt>
                <c:pt idx="27">
                  <c:v>1600</c:v>
                </c:pt>
                <c:pt idx="28">
                  <c:v>1600</c:v>
                </c:pt>
                <c:pt idx="29">
                  <c:v>1600</c:v>
                </c:pt>
                <c:pt idx="30">
                  <c:v>1600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  <c:pt idx="41">
                  <c:v>1600</c:v>
                </c:pt>
                <c:pt idx="42">
                  <c:v>1600</c:v>
                </c:pt>
                <c:pt idx="43">
                  <c:v>1600</c:v>
                </c:pt>
                <c:pt idx="44">
                  <c:v>1600</c:v>
                </c:pt>
                <c:pt idx="45">
                  <c:v>1600</c:v>
                </c:pt>
                <c:pt idx="46">
                  <c:v>1600</c:v>
                </c:pt>
                <c:pt idx="47">
                  <c:v>1600</c:v>
                </c:pt>
                <c:pt idx="48">
                  <c:v>1600</c:v>
                </c:pt>
                <c:pt idx="49">
                  <c:v>1600</c:v>
                </c:pt>
                <c:pt idx="50">
                  <c:v>1600</c:v>
                </c:pt>
                <c:pt idx="51">
                  <c:v>400</c:v>
                </c:pt>
                <c:pt idx="52">
                  <c:v>400</c:v>
                </c:pt>
                <c:pt idx="53">
                  <c:v>400</c:v>
                </c:pt>
                <c:pt idx="54">
                  <c:v>400</c:v>
                </c:pt>
                <c:pt idx="55">
                  <c:v>400</c:v>
                </c:pt>
                <c:pt idx="56">
                  <c:v>400</c:v>
                </c:pt>
                <c:pt idx="57">
                  <c:v>400</c:v>
                </c:pt>
                <c:pt idx="58">
                  <c:v>400</c:v>
                </c:pt>
                <c:pt idx="59">
                  <c:v>400</c:v>
                </c:pt>
                <c:pt idx="60">
                  <c:v>400</c:v>
                </c:pt>
                <c:pt idx="61">
                  <c:v>1600</c:v>
                </c:pt>
                <c:pt idx="62">
                  <c:v>1600</c:v>
                </c:pt>
                <c:pt idx="63">
                  <c:v>1600</c:v>
                </c:pt>
                <c:pt idx="64">
                  <c:v>1600</c:v>
                </c:pt>
                <c:pt idx="65">
                  <c:v>1600</c:v>
                </c:pt>
                <c:pt idx="66">
                  <c:v>1600</c:v>
                </c:pt>
                <c:pt idx="67">
                  <c:v>1600</c:v>
                </c:pt>
                <c:pt idx="68">
                  <c:v>1600</c:v>
                </c:pt>
                <c:pt idx="69">
                  <c:v>1600</c:v>
                </c:pt>
                <c:pt idx="70">
                  <c:v>1600</c:v>
                </c:pt>
                <c:pt idx="71">
                  <c:v>400</c:v>
                </c:pt>
                <c:pt idx="72">
                  <c:v>400</c:v>
                </c:pt>
                <c:pt idx="73">
                  <c:v>400</c:v>
                </c:pt>
                <c:pt idx="74">
                  <c:v>400</c:v>
                </c:pt>
                <c:pt idx="75">
                  <c:v>400</c:v>
                </c:pt>
                <c:pt idx="76">
                  <c:v>400</c:v>
                </c:pt>
                <c:pt idx="77">
                  <c:v>400</c:v>
                </c:pt>
                <c:pt idx="78">
                  <c:v>400</c:v>
                </c:pt>
                <c:pt idx="79">
                  <c:v>400</c:v>
                </c:pt>
                <c:pt idx="80">
                  <c:v>400</c:v>
                </c:pt>
                <c:pt idx="81">
                  <c:v>1600</c:v>
                </c:pt>
                <c:pt idx="82">
                  <c:v>1600</c:v>
                </c:pt>
                <c:pt idx="83">
                  <c:v>1600</c:v>
                </c:pt>
                <c:pt idx="84">
                  <c:v>1600</c:v>
                </c:pt>
                <c:pt idx="85">
                  <c:v>1600</c:v>
                </c:pt>
                <c:pt idx="86">
                  <c:v>1600</c:v>
                </c:pt>
                <c:pt idx="87">
                  <c:v>1600</c:v>
                </c:pt>
                <c:pt idx="88">
                  <c:v>1600</c:v>
                </c:pt>
                <c:pt idx="89">
                  <c:v>1600</c:v>
                </c:pt>
                <c:pt idx="90">
                  <c:v>1600</c:v>
                </c:pt>
                <c:pt idx="91">
                  <c:v>400</c:v>
                </c:pt>
                <c:pt idx="92">
                  <c:v>400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400</c:v>
                </c:pt>
                <c:pt idx="99">
                  <c:v>400</c:v>
                </c:pt>
                <c:pt idx="100">
                  <c:v>400</c:v>
                </c:pt>
                <c:pt idx="101">
                  <c:v>1600</c:v>
                </c:pt>
                <c:pt idx="102">
                  <c:v>1600</c:v>
                </c:pt>
                <c:pt idx="103">
                  <c:v>1600</c:v>
                </c:pt>
                <c:pt idx="104">
                  <c:v>1600</c:v>
                </c:pt>
                <c:pt idx="105">
                  <c:v>1600</c:v>
                </c:pt>
                <c:pt idx="106">
                  <c:v>1600</c:v>
                </c:pt>
                <c:pt idx="107">
                  <c:v>1600</c:v>
                </c:pt>
                <c:pt idx="108">
                  <c:v>1600</c:v>
                </c:pt>
                <c:pt idx="109">
                  <c:v>1600</c:v>
                </c:pt>
                <c:pt idx="110">
                  <c:v>1600</c:v>
                </c:pt>
                <c:pt idx="111">
                  <c:v>400</c:v>
                </c:pt>
                <c:pt idx="112">
                  <c:v>400</c:v>
                </c:pt>
                <c:pt idx="113">
                  <c:v>400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1600</c:v>
                </c:pt>
                <c:pt idx="122">
                  <c:v>1600</c:v>
                </c:pt>
                <c:pt idx="123">
                  <c:v>1600</c:v>
                </c:pt>
                <c:pt idx="124">
                  <c:v>1600</c:v>
                </c:pt>
                <c:pt idx="125">
                  <c:v>1600</c:v>
                </c:pt>
                <c:pt idx="126">
                  <c:v>1600</c:v>
                </c:pt>
                <c:pt idx="127">
                  <c:v>1600</c:v>
                </c:pt>
                <c:pt idx="128">
                  <c:v>1600</c:v>
                </c:pt>
                <c:pt idx="129">
                  <c:v>1600</c:v>
                </c:pt>
                <c:pt idx="130">
                  <c:v>1600</c:v>
                </c:pt>
                <c:pt idx="131">
                  <c:v>400</c:v>
                </c:pt>
                <c:pt idx="132">
                  <c:v>400</c:v>
                </c:pt>
                <c:pt idx="133">
                  <c:v>400</c:v>
                </c:pt>
                <c:pt idx="134">
                  <c:v>400</c:v>
                </c:pt>
                <c:pt idx="135">
                  <c:v>400</c:v>
                </c:pt>
                <c:pt idx="136">
                  <c:v>400</c:v>
                </c:pt>
                <c:pt idx="137">
                  <c:v>400</c:v>
                </c:pt>
                <c:pt idx="138">
                  <c:v>400</c:v>
                </c:pt>
                <c:pt idx="139">
                  <c:v>400</c:v>
                </c:pt>
                <c:pt idx="140">
                  <c:v>400</c:v>
                </c:pt>
                <c:pt idx="141">
                  <c:v>1600</c:v>
                </c:pt>
                <c:pt idx="142">
                  <c:v>1600</c:v>
                </c:pt>
                <c:pt idx="143">
                  <c:v>1600</c:v>
                </c:pt>
                <c:pt idx="144">
                  <c:v>1600</c:v>
                </c:pt>
                <c:pt idx="145">
                  <c:v>1600</c:v>
                </c:pt>
                <c:pt idx="146">
                  <c:v>1600</c:v>
                </c:pt>
                <c:pt idx="147">
                  <c:v>1600</c:v>
                </c:pt>
                <c:pt idx="148">
                  <c:v>1600</c:v>
                </c:pt>
                <c:pt idx="149">
                  <c:v>1600</c:v>
                </c:pt>
                <c:pt idx="150">
                  <c:v>1600</c:v>
                </c:pt>
                <c:pt idx="151">
                  <c:v>400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1600</c:v>
                </c:pt>
                <c:pt idx="162">
                  <c:v>1600</c:v>
                </c:pt>
                <c:pt idx="163">
                  <c:v>1600</c:v>
                </c:pt>
                <c:pt idx="164">
                  <c:v>1600</c:v>
                </c:pt>
                <c:pt idx="165">
                  <c:v>1600</c:v>
                </c:pt>
                <c:pt idx="166">
                  <c:v>1600</c:v>
                </c:pt>
                <c:pt idx="167">
                  <c:v>1600</c:v>
                </c:pt>
                <c:pt idx="168">
                  <c:v>1600</c:v>
                </c:pt>
                <c:pt idx="169">
                  <c:v>1600</c:v>
                </c:pt>
                <c:pt idx="170">
                  <c:v>1600</c:v>
                </c:pt>
                <c:pt idx="171">
                  <c:v>400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1600</c:v>
                </c:pt>
                <c:pt idx="182">
                  <c:v>1600</c:v>
                </c:pt>
                <c:pt idx="183">
                  <c:v>1600</c:v>
                </c:pt>
                <c:pt idx="184">
                  <c:v>1600</c:v>
                </c:pt>
                <c:pt idx="185">
                  <c:v>1600</c:v>
                </c:pt>
                <c:pt idx="186">
                  <c:v>1600</c:v>
                </c:pt>
                <c:pt idx="187">
                  <c:v>1600</c:v>
                </c:pt>
                <c:pt idx="188">
                  <c:v>1600</c:v>
                </c:pt>
                <c:pt idx="189">
                  <c:v>1600</c:v>
                </c:pt>
                <c:pt idx="190">
                  <c:v>1600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400</c:v>
                </c:pt>
                <c:pt idx="199">
                  <c:v>400</c:v>
                </c:pt>
                <c:pt idx="200">
                  <c:v>400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Model_4!$M$1</c:f>
              <c:strCache>
                <c:ptCount val="1"/>
                <c:pt idx="0">
                  <c:v>Hourly incom per car_4, $/ hour</c:v>
                </c:pt>
              </c:strCache>
            </c:strRef>
          </c:tx>
          <c:marker>
            <c:symbol val="none"/>
          </c:marker>
          <c:val>
            <c:numRef>
              <c:f>Model_4!$M$2:$M$202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148.42300556586275</c:v>
                </c:pt>
                <c:pt idx="4">
                  <c:v>142.2872208784718</c:v>
                </c:pt>
                <c:pt idx="5">
                  <c:v>137.32941121585949</c:v>
                </c:pt>
                <c:pt idx="6">
                  <c:v>133.23140551767708</c:v>
                </c:pt>
                <c:pt idx="7">
                  <c:v>129.78372662267819</c:v>
                </c:pt>
                <c:pt idx="8">
                  <c:v>126.84192520559792</c:v>
                </c:pt>
                <c:pt idx="9">
                  <c:v>124.30265943854518</c:v>
                </c:pt>
                <c:pt idx="10">
                  <c:v>122.0897448196243</c:v>
                </c:pt>
                <c:pt idx="11">
                  <c:v>48.058239306643337</c:v>
                </c:pt>
                <c:pt idx="12">
                  <c:v>49.077916667798242</c:v>
                </c:pt>
                <c:pt idx="13">
                  <c:v>50.098361850583117</c:v>
                </c:pt>
                <c:pt idx="14">
                  <c:v>51.118725099615325</c:v>
                </c:pt>
                <c:pt idx="15">
                  <c:v>52.138156932338944</c:v>
                </c:pt>
                <c:pt idx="16">
                  <c:v>53.155810965362313</c:v>
                </c:pt>
                <c:pt idx="17">
                  <c:v>54.170846718909104</c:v>
                </c:pt>
                <c:pt idx="18">
                  <c:v>55.182432379690006</c:v>
                </c:pt>
                <c:pt idx="19">
                  <c:v>56.189747503003609</c:v>
                </c:pt>
                <c:pt idx="20">
                  <c:v>57.191985635603771</c:v>
                </c:pt>
                <c:pt idx="21">
                  <c:v>232.75342736725506</c:v>
                </c:pt>
                <c:pt idx="22">
                  <c:v>196.35129337967953</c:v>
                </c:pt>
                <c:pt idx="23">
                  <c:v>176.33510638094185</c:v>
                </c:pt>
                <c:pt idx="24">
                  <c:v>163.15792502236656</c:v>
                </c:pt>
                <c:pt idx="25">
                  <c:v>153.65754109328935</c:v>
                </c:pt>
                <c:pt idx="26">
                  <c:v>146.41451532116946</c:v>
                </c:pt>
                <c:pt idx="27">
                  <c:v>140.67841585589932</c:v>
                </c:pt>
                <c:pt idx="28">
                  <c:v>136.00850263089367</c:v>
                </c:pt>
                <c:pt idx="29">
                  <c:v>132.12600954898195</c:v>
                </c:pt>
                <c:pt idx="30">
                  <c:v>128.84458425301031</c:v>
                </c:pt>
                <c:pt idx="31">
                  <c:v>31.508543023899342</c:v>
                </c:pt>
                <c:pt idx="32">
                  <c:v>32.39608505005944</c:v>
                </c:pt>
                <c:pt idx="33">
                  <c:v>33.296473844423986</c:v>
                </c:pt>
                <c:pt idx="34">
                  <c:v>34.209224196813629</c:v>
                </c:pt>
                <c:pt idx="35">
                  <c:v>35.133816617695665</c:v>
                </c:pt>
                <c:pt idx="36">
                  <c:v>36.069698077717085</c:v>
                </c:pt>
                <c:pt idx="37">
                  <c:v>37.01628293535628</c:v>
                </c:pt>
                <c:pt idx="38">
                  <c:v>37.972954053030186</c:v>
                </c:pt>
                <c:pt idx="39">
                  <c:v>38.93906410026176</c:v>
                </c:pt>
                <c:pt idx="40">
                  <c:v>39.913937040721635</c:v>
                </c:pt>
                <c:pt idx="41">
                  <c:v>163.58747919253136</c:v>
                </c:pt>
                <c:pt idx="42">
                  <c:v>153.97733887751644</c:v>
                </c:pt>
                <c:pt idx="43">
                  <c:v>146.66356118096994</c:v>
                </c:pt>
                <c:pt idx="44">
                  <c:v>140.87865202572922</c:v>
                </c:pt>
                <c:pt idx="45">
                  <c:v>136.17337491678731</c:v>
                </c:pt>
                <c:pt idx="46">
                  <c:v>132.2642901624603</c:v>
                </c:pt>
                <c:pt idx="47">
                  <c:v>128.9622780148845</c:v>
                </c:pt>
                <c:pt idx="48">
                  <c:v>126.13554906660207</c:v>
                </c:pt>
                <c:pt idx="49">
                  <c:v>123.68901365017845</c:v>
                </c:pt>
                <c:pt idx="50">
                  <c:v>121.55207655802261</c:v>
                </c:pt>
                <c:pt idx="51">
                  <c:v>29.917765774582019</c:v>
                </c:pt>
                <c:pt idx="52">
                  <c:v>30.780636073341739</c:v>
                </c:pt>
                <c:pt idx="53">
                  <c:v>31.657151221864744</c:v>
                </c:pt>
                <c:pt idx="54">
                  <c:v>32.546890097106804</c:v>
                </c:pt>
                <c:pt idx="55">
                  <c:v>33.449396422331191</c:v>
                </c:pt>
                <c:pt idx="56">
                  <c:v>34.364179168373767</c:v>
                </c:pt>
                <c:pt idx="57">
                  <c:v>35.290713138197376</c:v>
                </c:pt>
                <c:pt idx="58">
                  <c:v>36.228439738022665</c:v>
                </c:pt>
                <c:pt idx="59">
                  <c:v>37.176767936752327</c:v>
                </c:pt>
                <c:pt idx="60">
                  <c:v>38.135075413739038</c:v>
                </c:pt>
                <c:pt idx="61">
                  <c:v>156.41083957281452</c:v>
                </c:pt>
                <c:pt idx="62">
                  <c:v>148.54682972609089</c:v>
                </c:pt>
                <c:pt idx="63">
                  <c:v>142.38595110258939</c:v>
                </c:pt>
                <c:pt idx="64">
                  <c:v>137.41019284026058</c:v>
                </c:pt>
                <c:pt idx="65">
                  <c:v>133.29882377725889</c:v>
                </c:pt>
                <c:pt idx="66">
                  <c:v>129.84088013047415</c:v>
                </c:pt>
                <c:pt idx="67">
                  <c:v>126.89099481849946</c:v>
                </c:pt>
                <c:pt idx="68">
                  <c:v>124.34523131417031</c:v>
                </c:pt>
                <c:pt idx="69">
                  <c:v>122.12700427703662</c:v>
                </c:pt>
                <c:pt idx="70">
                  <c:v>120.17845147827131</c:v>
                </c:pt>
                <c:pt idx="71">
                  <c:v>29.613730417537319</c:v>
                </c:pt>
                <c:pt idx="72">
                  <c:v>30.471644573361978</c:v>
                </c:pt>
                <c:pt idx="73">
                  <c:v>31.343345067815925</c:v>
                </c:pt>
                <c:pt idx="74">
                  <c:v>32.228423364596502</c:v>
                </c:pt>
                <c:pt idx="75">
                  <c:v>33.126435674176591</c:v>
                </c:pt>
                <c:pt idx="76">
                  <c:v>34.036903290845466</c:v>
                </c:pt>
                <c:pt idx="77">
                  <c:v>34.959313111509516</c:v>
                </c:pt>
                <c:pt idx="78">
                  <c:v>35.893118340072796</c:v>
                </c:pt>
                <c:pt idx="79">
                  <c:v>36.837739379685907</c:v>
                </c:pt>
                <c:pt idx="80">
                  <c:v>37.792564913516983</c:v>
                </c:pt>
                <c:pt idx="81">
                  <c:v>155.02781269192079</c:v>
                </c:pt>
                <c:pt idx="82">
                  <c:v>147.47908838078573</c:v>
                </c:pt>
                <c:pt idx="83">
                  <c:v>141.53286310387352</c:v>
                </c:pt>
                <c:pt idx="84">
                  <c:v>136.71111800058981</c:v>
                </c:pt>
                <c:pt idx="85">
                  <c:v>132.71469268163378</c:v>
                </c:pt>
                <c:pt idx="86">
                  <c:v>129.34520831543875</c:v>
                </c:pt>
                <c:pt idx="87">
                  <c:v>126.46509570420238</c:v>
                </c:pt>
                <c:pt idx="88">
                  <c:v>123.97548629469819</c:v>
                </c:pt>
                <c:pt idx="89">
                  <c:v>121.80321901010403</c:v>
                </c:pt>
                <c:pt idx="90">
                  <c:v>119.8928211927546</c:v>
                </c:pt>
                <c:pt idx="91">
                  <c:v>29.550338805524213</c:v>
                </c:pt>
                <c:pt idx="92">
                  <c:v>30.407209858484023</c:v>
                </c:pt>
                <c:pt idx="93">
                  <c:v>31.277896287444101</c:v>
                </c:pt>
                <c:pt idx="94">
                  <c:v>32.161992192670958</c:v>
                </c:pt>
                <c:pt idx="95">
                  <c:v>33.059056403224915</c:v>
                </c:pt>
                <c:pt idx="96">
                  <c:v>33.968612800644372</c:v>
                </c:pt>
                <c:pt idx="97">
                  <c:v>34.890150824046998</c:v>
                </c:pt>
                <c:pt idx="98">
                  <c:v>35.823126160577537</c:v>
                </c:pt>
                <c:pt idx="99">
                  <c:v>36.76696162360841</c:v>
                </c:pt>
                <c:pt idx="100">
                  <c:v>37.721048219472252</c:v>
                </c:pt>
                <c:pt idx="101">
                  <c:v>154.73898560716765</c:v>
                </c:pt>
                <c:pt idx="102">
                  <c:v>147.25524848496107</c:v>
                </c:pt>
                <c:pt idx="103">
                  <c:v>141.35352669436975</c:v>
                </c:pt>
                <c:pt idx="104">
                  <c:v>136.56384995601653</c:v>
                </c:pt>
                <c:pt idx="105">
                  <c:v>132.59143692907332</c:v>
                </c:pt>
                <c:pt idx="106">
                  <c:v>129.24048035552357</c:v>
                </c:pt>
                <c:pt idx="107">
                  <c:v>126.37501258176249</c:v>
                </c:pt>
                <c:pt idx="108">
                  <c:v>123.89721020512744</c:v>
                </c:pt>
                <c:pt idx="109">
                  <c:v>121.73462071248818</c:v>
                </c:pt>
                <c:pt idx="110">
                  <c:v>119.83226730926235</c:v>
                </c:pt>
                <c:pt idx="111">
                  <c:v>29.536892207556971</c:v>
                </c:pt>
                <c:pt idx="112">
                  <c:v>30.393541565774267</c:v>
                </c:pt>
                <c:pt idx="113">
                  <c:v>31.264012438694717</c:v>
                </c:pt>
                <c:pt idx="114">
                  <c:v>32.147899486381938</c:v>
                </c:pt>
                <c:pt idx="115">
                  <c:v>33.044762094002273</c:v>
                </c:pt>
                <c:pt idx="116">
                  <c:v>33.954124692677532</c:v>
                </c:pt>
                <c:pt idx="117">
                  <c:v>34.875477261680864</c:v>
                </c:pt>
                <c:pt idx="118">
                  <c:v>35.808276015928605</c:v>
                </c:pt>
                <c:pt idx="119">
                  <c:v>36.751944281199286</c:v>
                </c:pt>
                <c:pt idx="120">
                  <c:v>37.705873557885361</c:v>
                </c:pt>
                <c:pt idx="121">
                  <c:v>154.6776990894837</c:v>
                </c:pt>
                <c:pt idx="122">
                  <c:v>147.20771371045203</c:v>
                </c:pt>
                <c:pt idx="123">
                  <c:v>141.31542061495014</c:v>
                </c:pt>
                <c:pt idx="124">
                  <c:v>136.53254411249759</c:v>
                </c:pt>
                <c:pt idx="125">
                  <c:v>132.56522651338983</c:v>
                </c:pt>
                <c:pt idx="126">
                  <c:v>129.21820370816314</c:v>
                </c:pt>
                <c:pt idx="127">
                  <c:v>126.35584667086238</c:v>
                </c:pt>
                <c:pt idx="128">
                  <c:v>123.88055317406761</c:v>
                </c:pt>
                <c:pt idx="129">
                  <c:v>121.72002075781849</c:v>
                </c:pt>
                <c:pt idx="130">
                  <c:v>119.8193776995876</c:v>
                </c:pt>
                <c:pt idx="131">
                  <c:v>29.534029601126257</c:v>
                </c:pt>
                <c:pt idx="132">
                  <c:v>30.390631743872987</c:v>
                </c:pt>
                <c:pt idx="133">
                  <c:v>31.261056707236879</c:v>
                </c:pt>
                <c:pt idx="134">
                  <c:v>32.144899270478888</c:v>
                </c:pt>
                <c:pt idx="135">
                  <c:v>33.041718937182516</c:v>
                </c:pt>
                <c:pt idx="136">
                  <c:v>33.951040255503727</c:v>
                </c:pt>
                <c:pt idx="137">
                  <c:v>34.872353319748498</c:v>
                </c:pt>
                <c:pt idx="138">
                  <c:v>35.805114457235213</c:v>
                </c:pt>
                <c:pt idx="139">
                  <c:v>36.748747102878937</c:v>
                </c:pt>
                <c:pt idx="140">
                  <c:v>37.70264286230843</c:v>
                </c:pt>
                <c:pt idx="141">
                  <c:v>154.66465105046052</c:v>
                </c:pt>
                <c:pt idx="142">
                  <c:v>147.19759173395821</c:v>
                </c:pt>
                <c:pt idx="143">
                  <c:v>141.30730537021489</c:v>
                </c:pt>
                <c:pt idx="144">
                  <c:v>136.52587645387763</c:v>
                </c:pt>
                <c:pt idx="145">
                  <c:v>132.55964369249247</c:v>
                </c:pt>
                <c:pt idx="146">
                  <c:v>129.21345850042047</c:v>
                </c:pt>
                <c:pt idx="147">
                  <c:v>126.35176389172588</c:v>
                </c:pt>
                <c:pt idx="148">
                  <c:v>123.87700470066581</c:v>
                </c:pt>
                <c:pt idx="149">
                  <c:v>121.71691040042145</c:v>
                </c:pt>
                <c:pt idx="150">
                  <c:v>119.81663163191486</c:v>
                </c:pt>
                <c:pt idx="151">
                  <c:v>29.533419721586789</c:v>
                </c:pt>
                <c:pt idx="152">
                  <c:v>30.390011804171007</c:v>
                </c:pt>
                <c:pt idx="153">
                  <c:v>31.260426985555444</c:v>
                </c:pt>
                <c:pt idx="154">
                  <c:v>32.144260070397195</c:v>
                </c:pt>
                <c:pt idx="155">
                  <c:v>33.041070587509871</c:v>
                </c:pt>
                <c:pt idx="156">
                  <c:v>33.950383109985275</c:v>
                </c:pt>
                <c:pt idx="157">
                  <c:v>34.871687756638963</c:v>
                </c:pt>
                <c:pt idx="158">
                  <c:v>35.804440878738752</c:v>
                </c:pt>
                <c:pt idx="159">
                  <c:v>36.748065934453642</c:v>
                </c:pt>
                <c:pt idx="160">
                  <c:v>37.70195455183562</c:v>
                </c:pt>
                <c:pt idx="161">
                  <c:v>154.66187111773888</c:v>
                </c:pt>
                <c:pt idx="162">
                  <c:v>147.19543513183655</c:v>
                </c:pt>
                <c:pt idx="163">
                  <c:v>141.30557627977456</c:v>
                </c:pt>
                <c:pt idx="164">
                  <c:v>136.52445576791769</c:v>
                </c:pt>
                <c:pt idx="165">
                  <c:v>132.55845413562352</c:v>
                </c:pt>
                <c:pt idx="166">
                  <c:v>129.21244740486941</c:v>
                </c:pt>
                <c:pt idx="167">
                  <c:v>126.35089393563408</c:v>
                </c:pt>
                <c:pt idx="168">
                  <c:v>123.87624858761086</c:v>
                </c:pt>
                <c:pt idx="169">
                  <c:v>121.71624763684032</c:v>
                </c:pt>
                <c:pt idx="170">
                  <c:v>119.81604648855848</c:v>
                </c:pt>
                <c:pt idx="171">
                  <c:v>29.533289765256356</c:v>
                </c:pt>
                <c:pt idx="172">
                  <c:v>30.389879704128159</c:v>
                </c:pt>
                <c:pt idx="173">
                  <c:v>31.260292801074961</c:v>
                </c:pt>
                <c:pt idx="174">
                  <c:v>32.144123866165437</c:v>
                </c:pt>
                <c:pt idx="175">
                  <c:v>33.040932433589454</c:v>
                </c:pt>
                <c:pt idx="176">
                  <c:v>33.950243081752305</c:v>
                </c:pt>
                <c:pt idx="177">
                  <c:v>34.871545934692271</c:v>
                </c:pt>
                <c:pt idx="178">
                  <c:v>35.804297348780544</c:v>
                </c:pt>
                <c:pt idx="179">
                  <c:v>36.747920787141304</c:v>
                </c:pt>
                <c:pt idx="180">
                  <c:v>37.701807882604705</c:v>
                </c:pt>
                <c:pt idx="181">
                  <c:v>154.66127875317372</c:v>
                </c:pt>
                <c:pt idx="182">
                  <c:v>147.19497558672398</c:v>
                </c:pt>
                <c:pt idx="183">
                  <c:v>141.30520783003095</c:v>
                </c:pt>
                <c:pt idx="184">
                  <c:v>136.52415303441953</c:v>
                </c:pt>
                <c:pt idx="185">
                  <c:v>132.5582006525031</c:v>
                </c:pt>
                <c:pt idx="186">
                  <c:v>129.21223194956161</c:v>
                </c:pt>
                <c:pt idx="187">
                  <c:v>126.35070855545997</c:v>
                </c:pt>
                <c:pt idx="188">
                  <c:v>123.87608746611521</c:v>
                </c:pt>
                <c:pt idx="189">
                  <c:v>121.71610640713367</c:v>
                </c:pt>
                <c:pt idx="190">
                  <c:v>119.81592179894596</c:v>
                </c:pt>
                <c:pt idx="191">
                  <c:v>29.533262072516003</c:v>
                </c:pt>
                <c:pt idx="192">
                  <c:v>30.389851554576598</c:v>
                </c:pt>
                <c:pt idx="193">
                  <c:v>31.26026420734312</c:v>
                </c:pt>
                <c:pt idx="194">
                  <c:v>32.144094842037433</c:v>
                </c:pt>
                <c:pt idx="195">
                  <c:v>33.040902993995012</c:v>
                </c:pt>
                <c:pt idx="196">
                  <c:v>33.950213242753449</c:v>
                </c:pt>
                <c:pt idx="197">
                  <c:v>34.871515713463957</c:v>
                </c:pt>
                <c:pt idx="198">
                  <c:v>35.804266763585204</c:v>
                </c:pt>
                <c:pt idx="199">
                  <c:v>36.747889857297281</c:v>
                </c:pt>
                <c:pt idx="200">
                  <c:v>37.701776628448563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99840"/>
        <c:axId val="208501760"/>
      </c:lineChart>
      <c:catAx>
        <c:axId val="20849984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735618460360402"/>
              <c:y val="0.876664036312061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501760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8501760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08499840"/>
        <c:crossesAt val="1"/>
        <c:crossBetween val="midCat"/>
      </c:valAx>
    </c:plotArea>
    <c:legend>
      <c:legendPos val="b"/>
      <c:layout>
        <c:manualLayout>
          <c:xMode val="edge"/>
          <c:yMode val="edge"/>
          <c:x val="1.0236724248240563E-2"/>
          <c:y val="0.91742128687355873"/>
          <c:w val="0.98976327575175949"/>
          <c:h val="8.2578713126441369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0212198051515"/>
          <c:y val="2.5742850900972308E-2"/>
          <c:w val="0.86187681342092126"/>
          <c:h val="0.77540500985763872"/>
        </c:manualLayout>
      </c:layout>
      <c:lineChart>
        <c:grouping val="standard"/>
        <c:varyColors val="0"/>
        <c:ser>
          <c:idx val="1"/>
          <c:order val="0"/>
          <c:tx>
            <c:strRef>
              <c:f>Model_1!$H$1</c:f>
              <c:strCache>
                <c:ptCount val="1"/>
                <c:pt idx="0">
                  <c:v>Number of cars_1, car</c:v>
                </c:pt>
              </c:strCache>
            </c:strRef>
          </c:tx>
          <c:marker>
            <c:symbol val="none"/>
          </c:marker>
          <c:val>
            <c:numRef>
              <c:f>Contrast!$F$2:$F$202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351.40190166975884</c:v>
                </c:pt>
                <c:pt idx="5">
                  <c:v>364.08806793330041</c:v>
                </c:pt>
                <c:pt idx="6">
                  <c:v>375.28689129805826</c:v>
                </c:pt>
                <c:pt idx="7">
                  <c:v>385.25631295336137</c:v>
                </c:pt>
                <c:pt idx="8">
                  <c:v>394.19143094016482</c:v>
                </c:pt>
                <c:pt idx="9">
                  <c:v>402.24400850184418</c:v>
                </c:pt>
                <c:pt idx="10">
                  <c:v>409.53480633340774</c:v>
                </c:pt>
                <c:pt idx="11">
                  <c:v>416.16172977929506</c:v>
                </c:pt>
                <c:pt idx="12">
                  <c:v>422.20540925927753</c:v>
                </c:pt>
                <c:pt idx="13">
                  <c:v>427.7331397692115</c:v>
                </c:pt>
                <c:pt idx="14">
                  <c:v>432.80173419257892</c:v>
                </c:pt>
                <c:pt idx="15">
                  <c:v>437.45963598676542</c:v>
                </c:pt>
                <c:pt idx="16">
                  <c:v>441.74851378497624</c:v>
                </c:pt>
                <c:pt idx="17">
                  <c:v>445.70448541117923</c:v>
                </c:pt>
                <c:pt idx="18">
                  <c:v>449.35907155733827</c:v>
                </c:pt>
                <c:pt idx="19">
                  <c:v>452.73994878768923</c:v>
                </c:pt>
                <c:pt idx="20">
                  <c:v>455.87155124549264</c:v>
                </c:pt>
                <c:pt idx="21">
                  <c:v>458.77555668083579</c:v>
                </c:pt>
                <c:pt idx="22">
                  <c:v>461.4712829059261</c:v>
                </c:pt>
                <c:pt idx="23">
                  <c:v>463.97601408994183</c:v>
                </c:pt>
                <c:pt idx="24">
                  <c:v>466.30527151809036</c:v>
                </c:pt>
                <c:pt idx="25">
                  <c:v>468.47303996549914</c:v>
                </c:pt>
                <c:pt idx="26">
                  <c:v>470.49195828170508</c:v>
                </c:pt>
                <c:pt idx="27">
                  <c:v>472.37348087941717</c:v>
                </c:pt>
                <c:pt idx="28">
                  <c:v>474.1280153890059</c:v>
                </c:pt>
                <c:pt idx="29">
                  <c:v>475.76504065040712</c:v>
                </c:pt>
                <c:pt idx="30">
                  <c:v>477.29320837684168</c:v>
                </c:pt>
                <c:pt idx="31">
                  <c:v>478.72043117561429</c:v>
                </c:pt>
                <c:pt idx="32">
                  <c:v>480.05395910372852</c:v>
                </c:pt>
                <c:pt idx="33">
                  <c:v>481.30044653611077</c:v>
                </c:pt>
                <c:pt idx="34">
                  <c:v>482.4660108067323</c:v>
                </c:pt>
                <c:pt idx="35">
                  <c:v>483.5562838291126</c:v>
                </c:pt>
                <c:pt idx="36">
                  <c:v>484.57645769847124</c:v>
                </c:pt>
                <c:pt idx="37">
                  <c:v>485.53132511246719</c:v>
                </c:pt>
                <c:pt idx="38">
                  <c:v>486.42531531284288</c:v>
                </c:pt>
                <c:pt idx="39">
                  <c:v>487.26252614006472</c:v>
                </c:pt>
                <c:pt idx="40">
                  <c:v>488.0467527023352</c:v>
                </c:pt>
                <c:pt idx="41">
                  <c:v>488.78151308531977</c:v>
                </c:pt>
                <c:pt idx="42">
                  <c:v>489.47007146658092</c:v>
                </c:pt>
                <c:pt idx="43">
                  <c:v>490.11545894666943</c:v>
                </c:pt>
                <c:pt idx="44">
                  <c:v>490.7204923651974</c:v>
                </c:pt>
                <c:pt idx="45">
                  <c:v>491.28779133350071</c:v>
                </c:pt>
                <c:pt idx="46">
                  <c:v>491.81979368447622</c:v>
                </c:pt>
                <c:pt idx="47">
                  <c:v>492.31876951386943</c:v>
                </c:pt>
                <c:pt idx="48">
                  <c:v>492.78683396489868</c:v>
                </c:pt>
                <c:pt idx="49">
                  <c:v>493.22595888897985</c:v>
                </c:pt>
                <c:pt idx="50">
                  <c:v>493.6379834989342</c:v>
                </c:pt>
                <c:pt idx="51">
                  <c:v>494.02462411698218</c:v>
                </c:pt>
                <c:pt idx="52">
                  <c:v>494.38748310768722</c:v>
                </c:pt>
                <c:pt idx="53">
                  <c:v>494.72805707552106</c:v>
                </c:pt>
                <c:pt idx="54">
                  <c:v>495.04774439762139</c:v>
                </c:pt>
                <c:pt idx="55">
                  <c:v>495.34785215440377</c:v>
                </c:pt>
                <c:pt idx="56">
                  <c:v>495.6296025137944</c:v>
                </c:pt>
                <c:pt idx="57">
                  <c:v>495.8941386188236</c:v>
                </c:pt>
                <c:pt idx="58">
                  <c:v>496.14253002304218</c:v>
                </c:pt>
                <c:pt idx="59">
                  <c:v>496.37577771358661</c:v>
                </c:pt>
                <c:pt idx="60">
                  <c:v>496.59481875763839</c:v>
                </c:pt>
                <c:pt idx="61">
                  <c:v>496.80053060442413</c:v>
                </c:pt>
                <c:pt idx="62">
                  <c:v>496.99373507171907</c:v>
                </c:pt>
                <c:pt idx="63">
                  <c:v>497.17520204299871</c:v>
                </c:pt>
                <c:pt idx="64">
                  <c:v>497.34565289887769</c:v>
                </c:pt>
                <c:pt idx="65">
                  <c:v>497.5057637042492</c:v>
                </c:pt>
                <c:pt idx="66">
                  <c:v>497.65616817055206</c:v>
                </c:pt>
                <c:pt idx="67">
                  <c:v>497.79746041081893</c:v>
                </c:pt>
                <c:pt idx="68">
                  <c:v>497.93019750357325</c:v>
                </c:pt>
                <c:pt idx="69">
                  <c:v>498.05490188021906</c:v>
                </c:pt>
                <c:pt idx="70">
                  <c:v>498.17206354929039</c:v>
                </c:pt>
                <c:pt idx="71">
                  <c:v>498.28214216977864</c:v>
                </c:pt>
                <c:pt idx="72">
                  <c:v>498.38556898471973</c:v>
                </c:pt>
                <c:pt idx="73">
                  <c:v>498.48274862528814</c:v>
                </c:pt>
                <c:pt idx="74">
                  <c:v>498.57406079480029</c:v>
                </c:pt>
                <c:pt idx="75">
                  <c:v>498.65986184126427</c:v>
                </c:pt>
                <c:pt idx="76">
                  <c:v>498.74048622641857</c:v>
                </c:pt>
                <c:pt idx="77">
                  <c:v>498.81624789857261</c:v>
                </c:pt>
                <c:pt idx="78">
                  <c:v>498.88744157598876</c:v>
                </c:pt>
                <c:pt idx="79">
                  <c:v>498.95434394702238</c:v>
                </c:pt>
                <c:pt idx="80">
                  <c:v>499.01721479276182</c:v>
                </c:pt>
                <c:pt idx="81">
                  <c:v>499.07629803747392</c:v>
                </c:pt>
                <c:pt idx="82">
                  <c:v>499.13182273176363</c:v>
                </c:pt>
                <c:pt idx="83">
                  <c:v>499.18400397299274</c:v>
                </c:pt>
                <c:pt idx="84">
                  <c:v>499.2330437671676</c:v>
                </c:pt>
                <c:pt idx="85">
                  <c:v>499.27913183620115</c:v>
                </c:pt>
                <c:pt idx="86">
                  <c:v>499.32244637417199</c:v>
                </c:pt>
                <c:pt idx="87">
                  <c:v>499.363154755945</c:v>
                </c:pt>
                <c:pt idx="88">
                  <c:v>499.40141420127992</c:v>
                </c:pt>
                <c:pt idx="89">
                  <c:v>499.43737239733412</c:v>
                </c:pt>
                <c:pt idx="90">
                  <c:v>499.47116808226446</c:v>
                </c:pt>
                <c:pt idx="91">
                  <c:v>499.50293159244461</c:v>
                </c:pt>
                <c:pt idx="92">
                  <c:v>499.5327853756429</c:v>
                </c:pt>
                <c:pt idx="93">
                  <c:v>499.56084447234497</c:v>
                </c:pt>
                <c:pt idx="94">
                  <c:v>499.58721696725809</c:v>
                </c:pt>
                <c:pt idx="95">
                  <c:v>499.61200441289657</c:v>
                </c:pt>
                <c:pt idx="96">
                  <c:v>499.63530222702093</c:v>
                </c:pt>
                <c:pt idx="97">
                  <c:v>499.65720006558558</c:v>
                </c:pt>
                <c:pt idx="98">
                  <c:v>499.67778217274042</c:v>
                </c:pt>
                <c:pt idx="99">
                  <c:v>499.69712770932955</c:v>
                </c:pt>
                <c:pt idx="100">
                  <c:v>499.71531106123666</c:v>
                </c:pt>
                <c:pt idx="101">
                  <c:v>499.73240212883826</c:v>
                </c:pt>
                <c:pt idx="102">
                  <c:v>499.74846659874385</c:v>
                </c:pt>
                <c:pt idx="103">
                  <c:v>499.76356619892681</c:v>
                </c:pt>
                <c:pt idx="104">
                  <c:v>499.77775893827783</c:v>
                </c:pt>
                <c:pt idx="105">
                  <c:v>499.79109933154751</c:v>
                </c:pt>
                <c:pt idx="106">
                  <c:v>499.8036386105822</c:v>
                </c:pt>
                <c:pt idx="107">
                  <c:v>499.81542492270052</c:v>
                </c:pt>
                <c:pt idx="108">
                  <c:v>499.82650351700329</c:v>
                </c:pt>
                <c:pt idx="109">
                  <c:v>499.83691691936048</c:v>
                </c:pt>
                <c:pt idx="110">
                  <c:v>499.84670509677107</c:v>
                </c:pt>
                <c:pt idx="111">
                  <c:v>499.85590561174894</c:v>
                </c:pt>
                <c:pt idx="112">
                  <c:v>499.8645537673454</c:v>
                </c:pt>
                <c:pt idx="113">
                  <c:v>499.87268274338305</c:v>
                </c:pt>
                <c:pt idx="114">
                  <c:v>499.88032372443757</c:v>
                </c:pt>
                <c:pt idx="115">
                  <c:v>499.88750602007212</c:v>
                </c:pt>
                <c:pt idx="116">
                  <c:v>499.89425717779699</c:v>
                </c:pt>
                <c:pt idx="117">
                  <c:v>499.90060308919834</c:v>
                </c:pt>
                <c:pt idx="118">
                  <c:v>499.90656808965167</c:v>
                </c:pt>
                <c:pt idx="119">
                  <c:v>499.91217505201098</c:v>
                </c:pt>
                <c:pt idx="120">
                  <c:v>499.91744547463952</c:v>
                </c:pt>
                <c:pt idx="121">
                  <c:v>499.92239956412618</c:v>
                </c:pt>
                <c:pt idx="122">
                  <c:v>499.9270563130101</c:v>
                </c:pt>
                <c:pt idx="123">
                  <c:v>499.93143357281645</c:v>
                </c:pt>
                <c:pt idx="124">
                  <c:v>499.93554812268741</c:v>
                </c:pt>
                <c:pt idx="125">
                  <c:v>499.93941573387576</c:v>
                </c:pt>
                <c:pt idx="126">
                  <c:v>499.94305123035099</c:v>
                </c:pt>
                <c:pt idx="127">
                  <c:v>499.94646854575376</c:v>
                </c:pt>
                <c:pt idx="128">
                  <c:v>499.94968077691937</c:v>
                </c:pt>
                <c:pt idx="129">
                  <c:v>499.95270023417771</c:v>
                </c:pt>
                <c:pt idx="130">
                  <c:v>499.9555384886246</c:v>
                </c:pt>
                <c:pt idx="131">
                  <c:v>499.95820641654734</c:v>
                </c:pt>
                <c:pt idx="132">
                  <c:v>499.96071424117645</c:v>
                </c:pt>
                <c:pt idx="133">
                  <c:v>499.9630715719249</c:v>
                </c:pt>
                <c:pt idx="134">
                  <c:v>499.96528744126653</c:v>
                </c:pt>
                <c:pt idx="135">
                  <c:v>499.96737033939598</c:v>
                </c:pt>
                <c:pt idx="136">
                  <c:v>499.96932824680391</c:v>
                </c:pt>
                <c:pt idx="137">
                  <c:v>499.97116866489336</c:v>
                </c:pt>
                <c:pt idx="138">
                  <c:v>499.97289864475499</c:v>
                </c:pt>
                <c:pt idx="139">
                  <c:v>499.97452481421249</c:v>
                </c:pt>
                <c:pt idx="140">
                  <c:v>499.97605340324191</c:v>
                </c:pt>
                <c:pt idx="141">
                  <c:v>499.97749026786346</c:v>
                </c:pt>
                <c:pt idx="142">
                  <c:v>499.97884091259698</c:v>
                </c:pt>
                <c:pt idx="143">
                  <c:v>499.98011051156828</c:v>
                </c:pt>
                <c:pt idx="144">
                  <c:v>499.98130392834707</c:v>
                </c:pt>
                <c:pt idx="145">
                  <c:v>499.98242573459299</c:v>
                </c:pt>
                <c:pt idx="146">
                  <c:v>499.98348022758131</c:v>
                </c:pt>
                <c:pt idx="147">
                  <c:v>499.98447144667585</c:v>
                </c:pt>
                <c:pt idx="148">
                  <c:v>499.98540318881254</c:v>
                </c:pt>
                <c:pt idx="149">
                  <c:v>499.98627902305259</c:v>
                </c:pt>
                <c:pt idx="150">
                  <c:v>499.9871023042619</c:v>
                </c:pt>
                <c:pt idx="151">
                  <c:v>499.98787618596879</c:v>
                </c:pt>
                <c:pt idx="152">
                  <c:v>499.9886036324495</c:v>
                </c:pt>
                <c:pt idx="153">
                  <c:v>499.98928743008815</c:v>
                </c:pt>
                <c:pt idx="154">
                  <c:v>499.98993019805425</c:v>
                </c:pt>
                <c:pt idx="155">
                  <c:v>499.99053439833938</c:v>
                </c:pt>
                <c:pt idx="156">
                  <c:v>499.99110234519094</c:v>
                </c:pt>
                <c:pt idx="157">
                  <c:v>499.99163621397986</c:v>
                </c:pt>
                <c:pt idx="158">
                  <c:v>499.99213804953558</c:v>
                </c:pt>
                <c:pt idx="159">
                  <c:v>499.9926097739808</c:v>
                </c:pt>
                <c:pt idx="160">
                  <c:v>499.99305319409592</c:v>
                </c:pt>
                <c:pt idx="161">
                  <c:v>499.99347000824122</c:v>
                </c:pt>
                <c:pt idx="162">
                  <c:v>499.99386181286371</c:v>
                </c:pt>
                <c:pt idx="163">
                  <c:v>499.99423010861324</c:v>
                </c:pt>
                <c:pt idx="164">
                  <c:v>499.99457630609146</c:v>
                </c:pt>
                <c:pt idx="165">
                  <c:v>499.99490173125599</c:v>
                </c:pt>
                <c:pt idx="166">
                  <c:v>499.99520763049975</c:v>
                </c:pt>
                <c:pt idx="167">
                  <c:v>499.99549517542579</c:v>
                </c:pt>
                <c:pt idx="168">
                  <c:v>499.9957654673355</c:v>
                </c:pt>
                <c:pt idx="169">
                  <c:v>499.99601954144714</c:v>
                </c:pt>
                <c:pt idx="170">
                  <c:v>499.9962583708616</c:v>
                </c:pt>
                <c:pt idx="171">
                  <c:v>499.99648287028987</c:v>
                </c:pt>
                <c:pt idx="172">
                  <c:v>499.99669389955693</c:v>
                </c:pt>
                <c:pt idx="173">
                  <c:v>499.99689226689514</c:v>
                </c:pt>
                <c:pt idx="174">
                  <c:v>499.99707873204039</c:v>
                </c:pt>
                <c:pt idx="175">
                  <c:v>499.99725400914201</c:v>
                </c:pt>
                <c:pt idx="176">
                  <c:v>499.99741876949838</c:v>
                </c:pt>
                <c:pt idx="177">
                  <c:v>499.99757364412801</c:v>
                </c:pt>
                <c:pt idx="178">
                  <c:v>499.9977192261868</c:v>
                </c:pt>
                <c:pt idx="179">
                  <c:v>499.9978560732398</c:v>
                </c:pt>
                <c:pt idx="180">
                  <c:v>499.99798470939697</c:v>
                </c:pt>
                <c:pt idx="181">
                  <c:v>499.99810562732051</c:v>
                </c:pt>
                <c:pt idx="182">
                  <c:v>499.99821929011193</c:v>
                </c:pt>
                <c:pt idx="183">
                  <c:v>499.99832613308575</c:v>
                </c:pt>
                <c:pt idx="184">
                  <c:v>499.99842656543683</c:v>
                </c:pt>
                <c:pt idx="185">
                  <c:v>499.99852097180769</c:v>
                </c:pt>
                <c:pt idx="186">
                  <c:v>499.99860971376171</c:v>
                </c:pt>
                <c:pt idx="187">
                  <c:v>499.99869313116795</c:v>
                </c:pt>
                <c:pt idx="188">
                  <c:v>499.99877154350281</c:v>
                </c:pt>
                <c:pt idx="189">
                  <c:v>499.99884525107376</c:v>
                </c:pt>
                <c:pt idx="190">
                  <c:v>499.99891453616937</c:v>
                </c:pt>
                <c:pt idx="191">
                  <c:v>499.99897966414056</c:v>
                </c:pt>
                <c:pt idx="192">
                  <c:v>499.99904088441707</c:v>
                </c:pt>
                <c:pt idx="193">
                  <c:v>499.99909843146241</c:v>
                </c:pt>
                <c:pt idx="194">
                  <c:v>499.99915252567223</c:v>
                </c:pt>
                <c:pt idx="195">
                  <c:v>499.9992033742181</c:v>
                </c:pt>
                <c:pt idx="196">
                  <c:v>499.99925117184114</c:v>
                </c:pt>
                <c:pt idx="197">
                  <c:v>499.99929610159796</c:v>
                </c:pt>
                <c:pt idx="198">
                  <c:v>499.99933833556156</c:v>
                </c:pt>
                <c:pt idx="199">
                  <c:v>499.99937803548039</c:v>
                </c:pt>
                <c:pt idx="200">
                  <c:v>499.99941535339798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Model_2!$H$1</c:f>
              <c:strCache>
                <c:ptCount val="1"/>
                <c:pt idx="0">
                  <c:v>Number of cars_2, car</c:v>
                </c:pt>
              </c:strCache>
            </c:strRef>
          </c:tx>
          <c:marker>
            <c:symbol val="none"/>
          </c:marker>
          <c:cat>
            <c:numRef>
              <c:f>Model_2!$F$2:$F$202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Contrast!$G$2:$G$202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402.86386827458256</c:v>
                </c:pt>
                <c:pt idx="5">
                  <c:v>410.09728924192621</c:v>
                </c:pt>
                <c:pt idx="6">
                  <c:v>416.67397578313165</c:v>
                </c:pt>
                <c:pt idx="7">
                  <c:v>460.83235915187424</c:v>
                </c:pt>
                <c:pt idx="8">
                  <c:v>450.39906478579928</c:v>
                </c:pt>
                <c:pt idx="9">
                  <c:v>453.70286395583906</c:v>
                </c:pt>
                <c:pt idx="10">
                  <c:v>490.33975530184046</c:v>
                </c:pt>
                <c:pt idx="11">
                  <c:v>490.93078904489556</c:v>
                </c:pt>
                <c:pt idx="12">
                  <c:v>491.48499410745126</c:v>
                </c:pt>
                <c:pt idx="13">
                  <c:v>521.61555854052278</c:v>
                </c:pt>
                <c:pt idx="14">
                  <c:v>520.75093619890185</c:v>
                </c:pt>
                <c:pt idx="15">
                  <c:v>507.92089875094575</c:v>
                </c:pt>
                <c:pt idx="16">
                  <c:v>535.52322205449832</c:v>
                </c:pt>
                <c:pt idx="17">
                  <c:v>534.10229317231835</c:v>
                </c:pt>
                <c:pt idx="18">
                  <c:v>532.7382014454256</c:v>
                </c:pt>
                <c:pt idx="19">
                  <c:v>556.81863400275506</c:v>
                </c:pt>
                <c:pt idx="20">
                  <c:v>554.54588864264485</c:v>
                </c:pt>
                <c:pt idx="21">
                  <c:v>552.36405309693907</c:v>
                </c:pt>
                <c:pt idx="22">
                  <c:v>573.88342131922423</c:v>
                </c:pt>
                <c:pt idx="23">
                  <c:v>570.92808446645529</c:v>
                </c:pt>
                <c:pt idx="24">
                  <c:v>568.09096108779704</c:v>
                </c:pt>
                <c:pt idx="25">
                  <c:v>587.68577007132774</c:v>
                </c:pt>
                <c:pt idx="26">
                  <c:v>584.17833926847459</c:v>
                </c:pt>
                <c:pt idx="27">
                  <c:v>580.81120569773566</c:v>
                </c:pt>
                <c:pt idx="28">
                  <c:v>598.92563259462997</c:v>
                </c:pt>
                <c:pt idx="29">
                  <c:v>582.96860729084483</c:v>
                </c:pt>
                <c:pt idx="30">
                  <c:v>579.649862999211</c:v>
                </c:pt>
                <c:pt idx="31">
                  <c:v>597.89675176980711</c:v>
                </c:pt>
                <c:pt idx="32">
                  <c:v>593.98088169901484</c:v>
                </c:pt>
                <c:pt idx="33">
                  <c:v>590.2216464310543</c:v>
                </c:pt>
                <c:pt idx="34">
                  <c:v>607.28195086447636</c:v>
                </c:pt>
                <c:pt idx="35">
                  <c:v>602.99067282989733</c:v>
                </c:pt>
                <c:pt idx="36">
                  <c:v>586.87104591670141</c:v>
                </c:pt>
                <c:pt idx="37">
                  <c:v>604.30279666872332</c:v>
                </c:pt>
                <c:pt idx="38">
                  <c:v>600.13068480197444</c:v>
                </c:pt>
                <c:pt idx="39">
                  <c:v>596.12545740989549</c:v>
                </c:pt>
                <c:pt idx="40">
                  <c:v>612.54142811318354</c:v>
                </c:pt>
                <c:pt idx="41">
                  <c:v>608.03977098865619</c:v>
                </c:pt>
                <c:pt idx="42">
                  <c:v>603.71818014910991</c:v>
                </c:pt>
                <c:pt idx="43">
                  <c:v>619.32401688325592</c:v>
                </c:pt>
                <c:pt idx="44">
                  <c:v>614.55105620792563</c:v>
                </c:pt>
                <c:pt idx="45">
                  <c:v>609.96901395960856</c:v>
                </c:pt>
                <c:pt idx="46">
                  <c:v>624.92303149359236</c:v>
                </c:pt>
                <c:pt idx="47">
                  <c:v>619.9261102338487</c:v>
                </c:pt>
                <c:pt idx="48">
                  <c:v>615.12906582449477</c:v>
                </c:pt>
                <c:pt idx="49">
                  <c:v>629.55498931508805</c:v>
                </c:pt>
                <c:pt idx="50">
                  <c:v>612.37278974248454</c:v>
                </c:pt>
                <c:pt idx="51">
                  <c:v>607.87787815278512</c:v>
                </c:pt>
                <c:pt idx="52">
                  <c:v>623.04846122563788</c:v>
                </c:pt>
                <c:pt idx="53">
                  <c:v>618.12652277661232</c:v>
                </c:pt>
                <c:pt idx="54">
                  <c:v>613.40146186554784</c:v>
                </c:pt>
                <c:pt idx="55">
                  <c:v>628.0032037707814</c:v>
                </c:pt>
                <c:pt idx="56">
                  <c:v>622.88307561995009</c:v>
                </c:pt>
                <c:pt idx="57">
                  <c:v>605.96775259515209</c:v>
                </c:pt>
                <c:pt idx="58">
                  <c:v>621.33746135530635</c:v>
                </c:pt>
                <c:pt idx="59">
                  <c:v>616.48396290109406</c:v>
                </c:pt>
                <c:pt idx="60">
                  <c:v>611.82460438505029</c:v>
                </c:pt>
                <c:pt idx="61">
                  <c:v>626.58768995692935</c:v>
                </c:pt>
                <c:pt idx="62">
                  <c:v>621.52418235865218</c:v>
                </c:pt>
                <c:pt idx="63">
                  <c:v>616.66321506430609</c:v>
                </c:pt>
                <c:pt idx="64">
                  <c:v>630.93383387524909</c:v>
                </c:pt>
                <c:pt idx="65">
                  <c:v>625.69648052023911</c:v>
                </c:pt>
                <c:pt idx="66">
                  <c:v>620.66862129942956</c:v>
                </c:pt>
                <c:pt idx="67">
                  <c:v>634.53738456895962</c:v>
                </c:pt>
                <c:pt idx="68">
                  <c:v>629.15588918620119</c:v>
                </c:pt>
                <c:pt idx="69">
                  <c:v>623.9896536187531</c:v>
                </c:pt>
                <c:pt idx="70">
                  <c:v>637.52913552731331</c:v>
                </c:pt>
                <c:pt idx="71">
                  <c:v>620.02797010622078</c:v>
                </c:pt>
                <c:pt idx="72">
                  <c:v>615.22685130197192</c:v>
                </c:pt>
                <c:pt idx="73">
                  <c:v>629.64285268217191</c:v>
                </c:pt>
                <c:pt idx="74">
                  <c:v>624.45713857488499</c:v>
                </c:pt>
                <c:pt idx="75">
                  <c:v>619.47885303188957</c:v>
                </c:pt>
                <c:pt idx="76">
                  <c:v>633.46644116675566</c:v>
                </c:pt>
                <c:pt idx="77">
                  <c:v>628.12778352008547</c:v>
                </c:pt>
                <c:pt idx="78">
                  <c:v>611.00267217928206</c:v>
                </c:pt>
                <c:pt idx="79">
                  <c:v>625.85018782604266</c:v>
                </c:pt>
                <c:pt idx="80">
                  <c:v>620.81618031300093</c:v>
                </c:pt>
                <c:pt idx="81">
                  <c:v>615.98353310048094</c:v>
                </c:pt>
                <c:pt idx="82">
                  <c:v>630.32286189181741</c:v>
                </c:pt>
                <c:pt idx="83">
                  <c:v>625.10994741614468</c:v>
                </c:pt>
                <c:pt idx="84">
                  <c:v>620.10554951949894</c:v>
                </c:pt>
                <c:pt idx="85">
                  <c:v>634.03049121652941</c:v>
                </c:pt>
                <c:pt idx="86">
                  <c:v>628.66927156786824</c:v>
                </c:pt>
                <c:pt idx="87">
                  <c:v>623.52250070515356</c:v>
                </c:pt>
                <c:pt idx="88">
                  <c:v>637.10808896631931</c:v>
                </c:pt>
                <c:pt idx="89">
                  <c:v>631.6237654076665</c:v>
                </c:pt>
                <c:pt idx="90">
                  <c:v>626.3588147913598</c:v>
                </c:pt>
                <c:pt idx="91">
                  <c:v>639.66552764218966</c:v>
                </c:pt>
                <c:pt idx="92">
                  <c:v>622.07890653650202</c:v>
                </c:pt>
                <c:pt idx="93">
                  <c:v>617.19575027504197</c:v>
                </c:pt>
                <c:pt idx="94">
                  <c:v>631.41264010762382</c:v>
                </c:pt>
                <c:pt idx="95">
                  <c:v>626.15613450331887</c:v>
                </c:pt>
                <c:pt idx="96">
                  <c:v>621.10988912318612</c:v>
                </c:pt>
                <c:pt idx="97">
                  <c:v>634.93469769966657</c:v>
                </c:pt>
                <c:pt idx="98">
                  <c:v>629.53730979167995</c:v>
                </c:pt>
                <c:pt idx="99">
                  <c:v>612.35581740001271</c:v>
                </c:pt>
                <c:pt idx="100">
                  <c:v>627.06445657493168</c:v>
                </c:pt>
                <c:pt idx="101">
                  <c:v>621.98187831193445</c:v>
                </c:pt>
                <c:pt idx="102">
                  <c:v>617.10260317945711</c:v>
                </c:pt>
                <c:pt idx="103">
                  <c:v>631.32888419359347</c:v>
                </c:pt>
                <c:pt idx="104">
                  <c:v>626.07572882584975</c:v>
                </c:pt>
                <c:pt idx="105">
                  <c:v>621.03269967281574</c:v>
                </c:pt>
                <c:pt idx="106">
                  <c:v>634.86519258378587</c:v>
                </c:pt>
                <c:pt idx="107">
                  <c:v>629.47058488043444</c:v>
                </c:pt>
                <c:pt idx="108">
                  <c:v>624.29176148521708</c:v>
                </c:pt>
                <c:pt idx="109">
                  <c:v>637.80146314881858</c:v>
                </c:pt>
                <c:pt idx="110">
                  <c:v>632.28940462286585</c:v>
                </c:pt>
                <c:pt idx="111">
                  <c:v>626.99782843795117</c:v>
                </c:pt>
                <c:pt idx="112">
                  <c:v>640.24205969097875</c:v>
                </c:pt>
                <c:pt idx="113">
                  <c:v>622.63237730333958</c:v>
                </c:pt>
                <c:pt idx="114">
                  <c:v>617.72708221120604</c:v>
                </c:pt>
                <c:pt idx="115">
                  <c:v>631.89045679168248</c:v>
                </c:pt>
                <c:pt idx="116">
                  <c:v>626.61483852001516</c:v>
                </c:pt>
                <c:pt idx="117">
                  <c:v>621.55024497921454</c:v>
                </c:pt>
                <c:pt idx="118">
                  <c:v>635.33125192143552</c:v>
                </c:pt>
                <c:pt idx="119">
                  <c:v>629.91800184457816</c:v>
                </c:pt>
                <c:pt idx="120">
                  <c:v>612.72128177079503</c:v>
                </c:pt>
                <c:pt idx="121">
                  <c:v>627.3925176857972</c:v>
                </c:pt>
                <c:pt idx="122">
                  <c:v>622.29681697836531</c:v>
                </c:pt>
                <c:pt idx="123">
                  <c:v>617.40494429923069</c:v>
                </c:pt>
                <c:pt idx="124">
                  <c:v>631.60075331333712</c:v>
                </c:pt>
                <c:pt idx="125">
                  <c:v>626.33672318080369</c:v>
                </c:pt>
                <c:pt idx="126">
                  <c:v>621.2832542535715</c:v>
                </c:pt>
                <c:pt idx="127">
                  <c:v>635.09081101145466</c:v>
                </c:pt>
                <c:pt idx="128">
                  <c:v>629.68717857099648</c:v>
                </c:pt>
                <c:pt idx="129">
                  <c:v>624.49969142815667</c:v>
                </c:pt>
                <c:pt idx="130">
                  <c:v>637.98891316369304</c:v>
                </c:pt>
                <c:pt idx="131">
                  <c:v>632.46935663714532</c:v>
                </c:pt>
                <c:pt idx="132">
                  <c:v>627.17058237165952</c:v>
                </c:pt>
                <c:pt idx="133">
                  <c:v>640.39794392103181</c:v>
                </c:pt>
                <c:pt idx="134">
                  <c:v>622.78202616419048</c:v>
                </c:pt>
                <c:pt idx="135">
                  <c:v>617.87074511762285</c:v>
                </c:pt>
                <c:pt idx="136">
                  <c:v>632.01966591284497</c:v>
                </c:pt>
                <c:pt idx="137">
                  <c:v>626.7388792763312</c:v>
                </c:pt>
                <c:pt idx="138">
                  <c:v>621.66932410527795</c:v>
                </c:pt>
                <c:pt idx="139">
                  <c:v>635.43849705790228</c:v>
                </c:pt>
                <c:pt idx="140">
                  <c:v>630.0209571755862</c:v>
                </c:pt>
                <c:pt idx="141">
                  <c:v>612.82011888856277</c:v>
                </c:pt>
                <c:pt idx="142">
                  <c:v>627.48124703436179</c:v>
                </c:pt>
                <c:pt idx="143">
                  <c:v>622.38199715298731</c:v>
                </c:pt>
                <c:pt idx="144">
                  <c:v>617.4867172668678</c:v>
                </c:pt>
                <c:pt idx="145">
                  <c:v>631.67428977039765</c:v>
                </c:pt>
                <c:pt idx="146">
                  <c:v>626.40731817958169</c:v>
                </c:pt>
                <c:pt idx="147">
                  <c:v>621.3510254523984</c:v>
                </c:pt>
                <c:pt idx="148">
                  <c:v>635.15184081605116</c:v>
                </c:pt>
                <c:pt idx="149">
                  <c:v>629.74576718340916</c:v>
                </c:pt>
                <c:pt idx="150">
                  <c:v>624.55593649607283</c:v>
                </c:pt>
                <c:pt idx="151">
                  <c:v>638.03962075249729</c:v>
                </c:pt>
                <c:pt idx="152">
                  <c:v>632.51803592239742</c:v>
                </c:pt>
                <c:pt idx="153">
                  <c:v>627.21731448550156</c:v>
                </c:pt>
                <c:pt idx="154">
                  <c:v>640.44011416458738</c:v>
                </c:pt>
                <c:pt idx="155">
                  <c:v>622.82250959800388</c:v>
                </c:pt>
                <c:pt idx="156">
                  <c:v>617.90960921408373</c:v>
                </c:pt>
                <c:pt idx="157">
                  <c:v>632.05462108538438</c:v>
                </c:pt>
                <c:pt idx="158">
                  <c:v>626.77243624196899</c:v>
                </c:pt>
                <c:pt idx="159">
                  <c:v>621.70153879229019</c:v>
                </c:pt>
                <c:pt idx="160">
                  <c:v>635.46751105382805</c:v>
                </c:pt>
                <c:pt idx="161">
                  <c:v>630.04881061167498</c:v>
                </c:pt>
                <c:pt idx="162">
                  <c:v>612.846858187208</c:v>
                </c:pt>
                <c:pt idx="163">
                  <c:v>627.50525234718896</c:v>
                </c:pt>
                <c:pt idx="164">
                  <c:v>622.40504225330142</c:v>
                </c:pt>
                <c:pt idx="165">
                  <c:v>617.50884056316931</c:v>
                </c:pt>
                <c:pt idx="166">
                  <c:v>631.69418509196851</c:v>
                </c:pt>
                <c:pt idx="167">
                  <c:v>626.4264176882898</c:v>
                </c:pt>
                <c:pt idx="168">
                  <c:v>621.36936098075819</c:v>
                </c:pt>
                <c:pt idx="169">
                  <c:v>635.16835270991282</c:v>
                </c:pt>
                <c:pt idx="170">
                  <c:v>629.76161860151626</c:v>
                </c:pt>
                <c:pt idx="171">
                  <c:v>624.57115385745556</c:v>
                </c:pt>
                <c:pt idx="172">
                  <c:v>638.05334009490059</c:v>
                </c:pt>
                <c:pt idx="173">
                  <c:v>632.53120649110451</c:v>
                </c:pt>
                <c:pt idx="174">
                  <c:v>627.22995823146039</c:v>
                </c:pt>
                <c:pt idx="175">
                  <c:v>640.45152377701049</c:v>
                </c:pt>
                <c:pt idx="176">
                  <c:v>622.83346282593004</c:v>
                </c:pt>
                <c:pt idx="177">
                  <c:v>617.92012431289288</c:v>
                </c:pt>
                <c:pt idx="178">
                  <c:v>632.06407866734855</c:v>
                </c:pt>
                <c:pt idx="179">
                  <c:v>626.78151552065458</c:v>
                </c:pt>
                <c:pt idx="180">
                  <c:v>621.71025489982844</c:v>
                </c:pt>
                <c:pt idx="181">
                  <c:v>635.47536122928273</c:v>
                </c:pt>
                <c:pt idx="182">
                  <c:v>630.05634678011143</c:v>
                </c:pt>
                <c:pt idx="183">
                  <c:v>612.85409290890698</c:v>
                </c:pt>
                <c:pt idx="184">
                  <c:v>627.51174738867837</c:v>
                </c:pt>
                <c:pt idx="185">
                  <c:v>622.41127749313125</c:v>
                </c:pt>
                <c:pt idx="186">
                  <c:v>617.514826393406</c:v>
                </c:pt>
                <c:pt idx="187">
                  <c:v>631.69956813357624</c:v>
                </c:pt>
                <c:pt idx="188">
                  <c:v>626.43158540823322</c:v>
                </c:pt>
                <c:pt idx="189">
                  <c:v>621.37432199190391</c:v>
                </c:pt>
                <c:pt idx="190">
                  <c:v>635.17282032203013</c:v>
                </c:pt>
                <c:pt idx="191">
                  <c:v>629.76590750914897</c:v>
                </c:pt>
                <c:pt idx="192">
                  <c:v>624.57527120878297</c:v>
                </c:pt>
                <c:pt idx="193">
                  <c:v>638.0570521407783</c:v>
                </c:pt>
                <c:pt idx="194">
                  <c:v>632.53477005514719</c:v>
                </c:pt>
                <c:pt idx="195">
                  <c:v>627.23337925294129</c:v>
                </c:pt>
                <c:pt idx="196">
                  <c:v>640.45461088722686</c:v>
                </c:pt>
                <c:pt idx="197">
                  <c:v>622.83642645173779</c:v>
                </c:pt>
                <c:pt idx="198">
                  <c:v>617.92296939366827</c:v>
                </c:pt>
                <c:pt idx="199">
                  <c:v>632.06663762092273</c:v>
                </c:pt>
                <c:pt idx="200">
                  <c:v>626.78397211608581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Model_3!$H$1</c:f>
              <c:strCache>
                <c:ptCount val="1"/>
                <c:pt idx="0">
                  <c:v>Number of cars_3, car</c:v>
                </c:pt>
              </c:strCache>
            </c:strRef>
          </c:tx>
          <c:marker>
            <c:symbol val="none"/>
          </c:marker>
          <c:val>
            <c:numRef>
              <c:f>Contrast!$H$2:$H$202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332</c:v>
                </c:pt>
                <c:pt idx="8">
                  <c:v>334.72</c:v>
                </c:pt>
                <c:pt idx="9">
                  <c:v>384.72</c:v>
                </c:pt>
                <c:pt idx="10">
                  <c:v>416.72</c:v>
                </c:pt>
                <c:pt idx="11">
                  <c:v>436.72</c:v>
                </c:pt>
                <c:pt idx="12">
                  <c:v>486.72</c:v>
                </c:pt>
                <c:pt idx="13">
                  <c:v>486.72</c:v>
                </c:pt>
                <c:pt idx="14">
                  <c:v>501.53357552581264</c:v>
                </c:pt>
                <c:pt idx="15">
                  <c:v>502.42544523091863</c:v>
                </c:pt>
                <c:pt idx="16">
                  <c:v>512.01807337451623</c:v>
                </c:pt>
                <c:pt idx="17">
                  <c:v>515.88430043037636</c:v>
                </c:pt>
                <c:pt idx="18">
                  <c:v>534.55859310744142</c:v>
                </c:pt>
                <c:pt idx="19">
                  <c:v>535.86825780172148</c:v>
                </c:pt>
                <c:pt idx="20">
                  <c:v>534.43352748965265</c:v>
                </c:pt>
                <c:pt idx="21">
                  <c:v>550.82446768993066</c:v>
                </c:pt>
                <c:pt idx="22">
                  <c:v>550.82446768993066</c:v>
                </c:pt>
                <c:pt idx="23">
                  <c:v>548.79148898233348</c:v>
                </c:pt>
                <c:pt idx="24">
                  <c:v>561.73668508948003</c:v>
                </c:pt>
                <c:pt idx="25">
                  <c:v>561.73668508948003</c:v>
                </c:pt>
                <c:pt idx="26">
                  <c:v>559.26721768590085</c:v>
                </c:pt>
                <c:pt idx="27">
                  <c:v>570.46757821063159</c:v>
                </c:pt>
                <c:pt idx="28">
                  <c:v>570.46757821063159</c:v>
                </c:pt>
                <c:pt idx="29">
                  <c:v>555.64887508220636</c:v>
                </c:pt>
                <c:pt idx="30">
                  <c:v>566.1475642708441</c:v>
                </c:pt>
                <c:pt idx="31">
                  <c:v>566.1475642708441</c:v>
                </c:pt>
                <c:pt idx="32">
                  <c:v>563.50166170001035</c:v>
                </c:pt>
                <c:pt idx="33">
                  <c:v>573.03234721984427</c:v>
                </c:pt>
                <c:pt idx="34">
                  <c:v>573.03234721984427</c:v>
                </c:pt>
                <c:pt idx="35">
                  <c:v>570.11105333105047</c:v>
                </c:pt>
                <c:pt idx="36">
                  <c:v>560.26332108379745</c:v>
                </c:pt>
                <c:pt idx="37">
                  <c:v>560.26332108379745</c:v>
                </c:pt>
                <c:pt idx="38">
                  <c:v>557.85278824044553</c:v>
                </c:pt>
                <c:pt idx="39">
                  <c:v>567.42112910019057</c:v>
                </c:pt>
                <c:pt idx="40">
                  <c:v>567.42112910019057</c:v>
                </c:pt>
                <c:pt idx="41">
                  <c:v>564.72428393618293</c:v>
                </c:pt>
                <c:pt idx="42">
                  <c:v>574.97231278352035</c:v>
                </c:pt>
                <c:pt idx="43">
                  <c:v>574.97231278352035</c:v>
                </c:pt>
                <c:pt idx="44">
                  <c:v>571.97342027217951</c:v>
                </c:pt>
                <c:pt idx="45">
                  <c:v>581.39111072658102</c:v>
                </c:pt>
                <c:pt idx="46">
                  <c:v>581.39111072658102</c:v>
                </c:pt>
                <c:pt idx="47">
                  <c:v>578.13546629751772</c:v>
                </c:pt>
                <c:pt idx="48">
                  <c:v>586.75118798646702</c:v>
                </c:pt>
                <c:pt idx="49">
                  <c:v>586.75118798646702</c:v>
                </c:pt>
                <c:pt idx="50">
                  <c:v>571.2811404670083</c:v>
                </c:pt>
                <c:pt idx="51">
                  <c:v>579.71019576315712</c:v>
                </c:pt>
                <c:pt idx="52">
                  <c:v>579.71019576315712</c:v>
                </c:pt>
                <c:pt idx="53">
                  <c:v>576.52178793263079</c:v>
                </c:pt>
                <c:pt idx="54">
                  <c:v>584.36411438303639</c:v>
                </c:pt>
                <c:pt idx="55">
                  <c:v>584.36411438303639</c:v>
                </c:pt>
                <c:pt idx="56">
                  <c:v>580.98954980771498</c:v>
                </c:pt>
                <c:pt idx="57">
                  <c:v>570.30996636323619</c:v>
                </c:pt>
                <c:pt idx="58">
                  <c:v>570.30996636323619</c:v>
                </c:pt>
                <c:pt idx="59">
                  <c:v>567.4975677087067</c:v>
                </c:pt>
                <c:pt idx="60">
                  <c:v>575.86794876571059</c:v>
                </c:pt>
                <c:pt idx="61">
                  <c:v>575.86794876571059</c:v>
                </c:pt>
                <c:pt idx="62">
                  <c:v>572.83323081508217</c:v>
                </c:pt>
                <c:pt idx="63">
                  <c:v>582.00228031600102</c:v>
                </c:pt>
                <c:pt idx="64">
                  <c:v>582.00228031600102</c:v>
                </c:pt>
                <c:pt idx="65">
                  <c:v>578.72218910336096</c:v>
                </c:pt>
                <c:pt idx="66">
                  <c:v>587.24952271361303</c:v>
                </c:pt>
                <c:pt idx="67">
                  <c:v>587.24952271361303</c:v>
                </c:pt>
                <c:pt idx="68">
                  <c:v>583.75954180506847</c:v>
                </c:pt>
                <c:pt idx="69">
                  <c:v>591.64611196571605</c:v>
                </c:pt>
                <c:pt idx="70">
                  <c:v>591.64611196571605</c:v>
                </c:pt>
                <c:pt idx="71">
                  <c:v>575.98026748708742</c:v>
                </c:pt>
                <c:pt idx="72">
                  <c:v>583.80954466495245</c:v>
                </c:pt>
                <c:pt idx="73">
                  <c:v>583.80954466495245</c:v>
                </c:pt>
                <c:pt idx="74">
                  <c:v>580.45716287835432</c:v>
                </c:pt>
                <c:pt idx="75">
                  <c:v>587.80366587947526</c:v>
                </c:pt>
                <c:pt idx="76">
                  <c:v>587.80366587947526</c:v>
                </c:pt>
                <c:pt idx="77">
                  <c:v>584.2915192442963</c:v>
                </c:pt>
                <c:pt idx="78">
                  <c:v>573.36357729982979</c:v>
                </c:pt>
                <c:pt idx="79">
                  <c:v>573.36357729982979</c:v>
                </c:pt>
                <c:pt idx="80">
                  <c:v>570.42903420783659</c:v>
                </c:pt>
                <c:pt idx="81">
                  <c:v>578.44183255760527</c:v>
                </c:pt>
                <c:pt idx="82">
                  <c:v>578.44183255760527</c:v>
                </c:pt>
                <c:pt idx="83">
                  <c:v>575.3041592553011</c:v>
                </c:pt>
                <c:pt idx="84">
                  <c:v>584.1502499320826</c:v>
                </c:pt>
                <c:pt idx="85">
                  <c:v>584.1502499320826</c:v>
                </c:pt>
                <c:pt idx="86">
                  <c:v>580.7842399347993</c:v>
                </c:pt>
                <c:pt idx="87">
                  <c:v>589.04364546665931</c:v>
                </c:pt>
                <c:pt idx="88">
                  <c:v>589.04364546665931</c:v>
                </c:pt>
                <c:pt idx="89">
                  <c:v>585.48189964799292</c:v>
                </c:pt>
                <c:pt idx="90">
                  <c:v>593.14794375359145</c:v>
                </c:pt>
                <c:pt idx="91">
                  <c:v>593.14794375359145</c:v>
                </c:pt>
                <c:pt idx="92">
                  <c:v>577.42202600344774</c:v>
                </c:pt>
                <c:pt idx="93">
                  <c:v>585.06915465547183</c:v>
                </c:pt>
                <c:pt idx="94">
                  <c:v>585.06915465547183</c:v>
                </c:pt>
                <c:pt idx="95">
                  <c:v>581.66638846925298</c:v>
                </c:pt>
                <c:pt idx="96">
                  <c:v>588.86181368578627</c:v>
                </c:pt>
                <c:pt idx="97">
                  <c:v>588.86181368578627</c:v>
                </c:pt>
                <c:pt idx="98">
                  <c:v>585.30734113835479</c:v>
                </c:pt>
                <c:pt idx="99">
                  <c:v>574.30336422531548</c:v>
                </c:pt>
                <c:pt idx="100">
                  <c:v>574.30336422531548</c:v>
                </c:pt>
                <c:pt idx="101">
                  <c:v>571.33122965630287</c:v>
                </c:pt>
                <c:pt idx="102">
                  <c:v>579.23457130717759</c:v>
                </c:pt>
                <c:pt idx="103">
                  <c:v>579.23457130717759</c:v>
                </c:pt>
                <c:pt idx="104">
                  <c:v>576.06518845489052</c:v>
                </c:pt>
                <c:pt idx="105">
                  <c:v>584.8123413377815</c:v>
                </c:pt>
                <c:pt idx="106">
                  <c:v>584.8123413377815</c:v>
                </c:pt>
                <c:pt idx="107">
                  <c:v>581.41984768427028</c:v>
                </c:pt>
                <c:pt idx="108">
                  <c:v>589.59704475198646</c:v>
                </c:pt>
                <c:pt idx="109">
                  <c:v>589.59704475198646</c:v>
                </c:pt>
                <c:pt idx="110">
                  <c:v>586.01316296190703</c:v>
                </c:pt>
                <c:pt idx="111">
                  <c:v>593.61144206285223</c:v>
                </c:pt>
                <c:pt idx="112">
                  <c:v>593.61144206285223</c:v>
                </c:pt>
                <c:pt idx="113">
                  <c:v>577.86698438033818</c:v>
                </c:pt>
                <c:pt idx="114">
                  <c:v>585.45807212798331</c:v>
                </c:pt>
                <c:pt idx="115">
                  <c:v>585.45807212798331</c:v>
                </c:pt>
                <c:pt idx="116">
                  <c:v>582.03974924286399</c:v>
                </c:pt>
                <c:pt idx="117">
                  <c:v>589.18864679306296</c:v>
                </c:pt>
                <c:pt idx="118">
                  <c:v>589.18864679306296</c:v>
                </c:pt>
                <c:pt idx="119">
                  <c:v>585.62110092134049</c:v>
                </c:pt>
                <c:pt idx="120">
                  <c:v>574.59367363733236</c:v>
                </c:pt>
                <c:pt idx="121">
                  <c:v>574.59367363733236</c:v>
                </c:pt>
                <c:pt idx="122">
                  <c:v>571.60992669183906</c:v>
                </c:pt>
                <c:pt idx="123">
                  <c:v>579.47951207720723</c:v>
                </c:pt>
                <c:pt idx="124">
                  <c:v>579.47951207720723</c:v>
                </c:pt>
                <c:pt idx="125">
                  <c:v>576.30033159411892</c:v>
                </c:pt>
                <c:pt idx="126">
                  <c:v>585.01696476892971</c:v>
                </c:pt>
                <c:pt idx="127">
                  <c:v>585.01696476892971</c:v>
                </c:pt>
                <c:pt idx="128">
                  <c:v>581.61628617817257</c:v>
                </c:pt>
                <c:pt idx="129">
                  <c:v>589.76811193136871</c:v>
                </c:pt>
                <c:pt idx="130">
                  <c:v>589.76811193136871</c:v>
                </c:pt>
                <c:pt idx="131">
                  <c:v>586.17738745411395</c:v>
                </c:pt>
                <c:pt idx="132">
                  <c:v>593.75474328870609</c:v>
                </c:pt>
                <c:pt idx="133">
                  <c:v>593.75474328870609</c:v>
                </c:pt>
                <c:pt idx="134">
                  <c:v>578.00455355715781</c:v>
                </c:pt>
                <c:pt idx="135">
                  <c:v>585.57833148911993</c:v>
                </c:pt>
                <c:pt idx="136">
                  <c:v>585.57833148911993</c:v>
                </c:pt>
                <c:pt idx="137">
                  <c:v>582.15519822955514</c:v>
                </c:pt>
                <c:pt idx="138">
                  <c:v>589.28972002299895</c:v>
                </c:pt>
                <c:pt idx="139">
                  <c:v>589.28972002299895</c:v>
                </c:pt>
                <c:pt idx="140">
                  <c:v>585.71813122207902</c:v>
                </c:pt>
                <c:pt idx="141">
                  <c:v>574.68345521266701</c:v>
                </c:pt>
                <c:pt idx="142">
                  <c:v>574.68345521266701</c:v>
                </c:pt>
                <c:pt idx="143">
                  <c:v>571.69611700416033</c:v>
                </c:pt>
                <c:pt idx="144">
                  <c:v>579.55526820483726</c:v>
                </c:pt>
                <c:pt idx="145">
                  <c:v>579.55526820483726</c:v>
                </c:pt>
                <c:pt idx="146">
                  <c:v>576.37305747664379</c:v>
                </c:pt>
                <c:pt idx="147">
                  <c:v>585.0802561892549</c:v>
                </c:pt>
                <c:pt idx="148">
                  <c:v>585.0802561892549</c:v>
                </c:pt>
                <c:pt idx="149">
                  <c:v>581.6770459416847</c:v>
                </c:pt>
                <c:pt idx="150">
                  <c:v>589.82102758091332</c:v>
                </c:pt>
                <c:pt idx="151">
                  <c:v>589.82102758091332</c:v>
                </c:pt>
                <c:pt idx="152">
                  <c:v>586.22818647767679</c:v>
                </c:pt>
                <c:pt idx="153">
                  <c:v>593.79907250580789</c:v>
                </c:pt>
                <c:pt idx="154">
                  <c:v>593.79907250580789</c:v>
                </c:pt>
                <c:pt idx="155">
                  <c:v>578.04710960557554</c:v>
                </c:pt>
                <c:pt idx="156">
                  <c:v>585.61553444690423</c:v>
                </c:pt>
                <c:pt idx="157">
                  <c:v>585.61553444690423</c:v>
                </c:pt>
                <c:pt idx="158">
                  <c:v>582.19091306902806</c:v>
                </c:pt>
                <c:pt idx="159">
                  <c:v>589.32098871735707</c:v>
                </c:pt>
                <c:pt idx="160">
                  <c:v>589.32098871735707</c:v>
                </c:pt>
                <c:pt idx="161">
                  <c:v>585.74814916866274</c:v>
                </c:pt>
                <c:pt idx="162">
                  <c:v>574.71123096095198</c:v>
                </c:pt>
                <c:pt idx="163">
                  <c:v>574.71123096095198</c:v>
                </c:pt>
                <c:pt idx="164">
                  <c:v>571.7227817225139</c:v>
                </c:pt>
                <c:pt idx="165">
                  <c:v>579.57870540686258</c:v>
                </c:pt>
                <c:pt idx="166">
                  <c:v>579.57870540686258</c:v>
                </c:pt>
                <c:pt idx="167">
                  <c:v>576.39555719058808</c:v>
                </c:pt>
                <c:pt idx="168">
                  <c:v>585.09983755463986</c:v>
                </c:pt>
                <c:pt idx="169">
                  <c:v>585.09983755463986</c:v>
                </c:pt>
                <c:pt idx="170">
                  <c:v>581.69584405245428</c:v>
                </c:pt>
                <c:pt idx="171">
                  <c:v>589.83739917249602</c:v>
                </c:pt>
                <c:pt idx="172">
                  <c:v>589.83739917249602</c:v>
                </c:pt>
                <c:pt idx="173">
                  <c:v>586.24390320559621</c:v>
                </c:pt>
                <c:pt idx="174">
                  <c:v>593.81278775979899</c:v>
                </c:pt>
                <c:pt idx="175">
                  <c:v>593.81278775979899</c:v>
                </c:pt>
                <c:pt idx="176">
                  <c:v>578.06027624940702</c:v>
                </c:pt>
                <c:pt idx="177">
                  <c:v>585.62704502029408</c:v>
                </c:pt>
                <c:pt idx="178">
                  <c:v>585.62704502029408</c:v>
                </c:pt>
                <c:pt idx="179">
                  <c:v>582.20196321948231</c:v>
                </c:pt>
                <c:pt idx="180">
                  <c:v>589.33066333661554</c:v>
                </c:pt>
                <c:pt idx="181">
                  <c:v>589.33066333661554</c:v>
                </c:pt>
                <c:pt idx="182">
                  <c:v>585.75743680315088</c:v>
                </c:pt>
                <c:pt idx="183">
                  <c:v>574.71982488342678</c:v>
                </c:pt>
                <c:pt idx="184">
                  <c:v>574.71982488342678</c:v>
                </c:pt>
                <c:pt idx="185">
                  <c:v>571.73103188808966</c:v>
                </c:pt>
                <c:pt idx="186">
                  <c:v>579.5859570153782</c:v>
                </c:pt>
                <c:pt idx="187">
                  <c:v>579.5859570153782</c:v>
                </c:pt>
                <c:pt idx="188">
                  <c:v>576.40251873476302</c:v>
                </c:pt>
                <c:pt idx="189">
                  <c:v>585.10589618828305</c:v>
                </c:pt>
                <c:pt idx="190">
                  <c:v>585.10589618828305</c:v>
                </c:pt>
                <c:pt idx="191">
                  <c:v>581.70166034075169</c:v>
                </c:pt>
                <c:pt idx="192">
                  <c:v>589.8424647072037</c:v>
                </c:pt>
                <c:pt idx="193">
                  <c:v>589.8424647072037</c:v>
                </c:pt>
                <c:pt idx="194">
                  <c:v>586.24876611891557</c:v>
                </c:pt>
                <c:pt idx="195">
                  <c:v>593.81703141822959</c:v>
                </c:pt>
                <c:pt idx="196">
                  <c:v>593.81703141822959</c:v>
                </c:pt>
                <c:pt idx="197">
                  <c:v>578.06435016150044</c:v>
                </c:pt>
                <c:pt idx="198">
                  <c:v>585.63060653946104</c:v>
                </c:pt>
                <c:pt idx="199">
                  <c:v>585.63060653946104</c:v>
                </c:pt>
                <c:pt idx="200">
                  <c:v>582.20538227788256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Model_4!$H$1</c:f>
              <c:strCache>
                <c:ptCount val="1"/>
                <c:pt idx="0">
                  <c:v>Number of cars_4, car</c:v>
                </c:pt>
              </c:strCache>
            </c:strRef>
          </c:tx>
          <c:marker>
            <c:symbol val="none"/>
          </c:marker>
          <c:val>
            <c:numRef>
              <c:f>Contrast!$I$2:$I$202</c:f>
              <c:numCache>
                <c:formatCode>0.00</c:formatCode>
                <c:ptCount val="201"/>
                <c:pt idx="0">
                  <c:v>300</c:v>
                </c:pt>
                <c:pt idx="1">
                  <c:v>300</c:v>
                </c:pt>
                <c:pt idx="2">
                  <c:v>320</c:v>
                </c:pt>
                <c:pt idx="3">
                  <c:v>336.875</c:v>
                </c:pt>
                <c:pt idx="4">
                  <c:v>351.40190166975884</c:v>
                </c:pt>
                <c:pt idx="5">
                  <c:v>364.08806793330041</c:v>
                </c:pt>
                <c:pt idx="6">
                  <c:v>375.28689129805826</c:v>
                </c:pt>
                <c:pt idx="7">
                  <c:v>385.25631295336137</c:v>
                </c:pt>
                <c:pt idx="8">
                  <c:v>394.19143094016482</c:v>
                </c:pt>
                <c:pt idx="9">
                  <c:v>402.24400850184418</c:v>
                </c:pt>
                <c:pt idx="10">
                  <c:v>409.53480633340774</c:v>
                </c:pt>
                <c:pt idx="11">
                  <c:v>416.16172977929506</c:v>
                </c:pt>
                <c:pt idx="12">
                  <c:v>407.51526058812328</c:v>
                </c:pt>
                <c:pt idx="13">
                  <c:v>399.21465016459837</c:v>
                </c:pt>
                <c:pt idx="14">
                  <c:v>391.24606415801441</c:v>
                </c:pt>
                <c:pt idx="15">
                  <c:v>383.59622159169385</c:v>
                </c:pt>
                <c:pt idx="16">
                  <c:v>376.2523727280261</c:v>
                </c:pt>
                <c:pt idx="17">
                  <c:v>369.20227781890503</c:v>
                </c:pt>
                <c:pt idx="18">
                  <c:v>362.43418670614881</c:v>
                </c:pt>
                <c:pt idx="19">
                  <c:v>355.93681923790285</c:v>
                </c:pt>
                <c:pt idx="20">
                  <c:v>349.69934646838675</c:v>
                </c:pt>
                <c:pt idx="21">
                  <c:v>343.71137260965128</c:v>
                </c:pt>
                <c:pt idx="22">
                  <c:v>407.43301774593368</c:v>
                </c:pt>
                <c:pt idx="23">
                  <c:v>453.68163856817989</c:v>
                </c:pt>
                <c:pt idx="24">
                  <c:v>490.322489631032</c:v>
                </c:pt>
                <c:pt idx="25">
                  <c:v>520.63829364176797</c:v>
                </c:pt>
                <c:pt idx="26">
                  <c:v>546.39391336654683</c:v>
                </c:pt>
                <c:pt idx="27">
                  <c:v>568.67288072070812</c:v>
                </c:pt>
                <c:pt idx="28">
                  <c:v>588.19852033153984</c:v>
                </c:pt>
                <c:pt idx="29">
                  <c:v>605.48260159436882</c:v>
                </c:pt>
                <c:pt idx="30">
                  <c:v>620.90308617788014</c:v>
                </c:pt>
                <c:pt idx="31">
                  <c:v>634.74848661932504</c:v>
                </c:pt>
                <c:pt idx="32">
                  <c:v>617.35854715455207</c:v>
                </c:pt>
                <c:pt idx="33">
                  <c:v>600.66420526836998</c:v>
                </c:pt>
                <c:pt idx="34">
                  <c:v>584.63763705763517</c:v>
                </c:pt>
                <c:pt idx="35">
                  <c:v>569.25213157532971</c:v>
                </c:pt>
                <c:pt idx="36">
                  <c:v>554.48204631231647</c:v>
                </c:pt>
                <c:pt idx="37">
                  <c:v>540.30276445982383</c:v>
                </c:pt>
                <c:pt idx="38">
                  <c:v>526.69065388143088</c:v>
                </c:pt>
                <c:pt idx="39">
                  <c:v>513.62302772617363</c:v>
                </c:pt>
                <c:pt idx="40">
                  <c:v>501.07810661712671</c:v>
                </c:pt>
                <c:pt idx="41">
                  <c:v>489.03498235244166</c:v>
                </c:pt>
                <c:pt idx="42">
                  <c:v>519.55697236485673</c:v>
                </c:pt>
                <c:pt idx="43">
                  <c:v>545.46609502606464</c:v>
                </c:pt>
                <c:pt idx="44">
                  <c:v>567.86460439293023</c:v>
                </c:pt>
                <c:pt idx="45">
                  <c:v>587.48635736528024</c:v>
                </c:pt>
                <c:pt idx="46">
                  <c:v>604.84957732533815</c:v>
                </c:pt>
                <c:pt idx="47">
                  <c:v>620.33643660331904</c:v>
                </c:pt>
                <c:pt idx="48">
                  <c:v>634.23833005046356</c:v>
                </c:pt>
                <c:pt idx="49">
                  <c:v>646.78339360243251</c:v>
                </c:pt>
                <c:pt idx="50">
                  <c:v>658.15412015451818</c:v>
                </c:pt>
                <c:pt idx="51">
                  <c:v>668.499116902369</c:v>
                </c:pt>
                <c:pt idx="52">
                  <c:v>649.75915222627418</c:v>
                </c:pt>
                <c:pt idx="53">
                  <c:v>631.76878613722317</c:v>
                </c:pt>
                <c:pt idx="54">
                  <c:v>614.49803469173423</c:v>
                </c:pt>
                <c:pt idx="55">
                  <c:v>597.91811330406483</c:v>
                </c:pt>
                <c:pt idx="56">
                  <c:v>582.00138877190227</c:v>
                </c:pt>
                <c:pt idx="57">
                  <c:v>566.72133322102616</c:v>
                </c:pt>
                <c:pt idx="58">
                  <c:v>552.05247989218515</c:v>
                </c:pt>
                <c:pt idx="59">
                  <c:v>537.97038069649773</c:v>
                </c:pt>
                <c:pt idx="60">
                  <c:v>524.4515654686378</c:v>
                </c:pt>
                <c:pt idx="61">
                  <c:v>511.47350284989227</c:v>
                </c:pt>
                <c:pt idx="62">
                  <c:v>538.55070584484326</c:v>
                </c:pt>
                <c:pt idx="63">
                  <c:v>561.85318411336686</c:v>
                </c:pt>
                <c:pt idx="64">
                  <c:v>582.19844064260974</c:v>
                </c:pt>
                <c:pt idx="65">
                  <c:v>600.15533320593477</c:v>
                </c:pt>
                <c:pt idx="66">
                  <c:v>616.13876861901906</c:v>
                </c:pt>
                <c:pt idx="67">
                  <c:v>630.46239108164662</c:v>
                </c:pt>
                <c:pt idx="68">
                  <c:v>643.3700685945264</c:v>
                </c:pt>
                <c:pt idx="69">
                  <c:v>655.05577962532811</c:v>
                </c:pt>
                <c:pt idx="70">
                  <c:v>665.67674167830569</c:v>
                </c:pt>
                <c:pt idx="71">
                  <c:v>675.36239838787594</c:v>
                </c:pt>
                <c:pt idx="72">
                  <c:v>656.34790245236093</c:v>
                </c:pt>
                <c:pt idx="73">
                  <c:v>638.09398635426646</c:v>
                </c:pt>
                <c:pt idx="74">
                  <c:v>620.5702269000958</c:v>
                </c:pt>
                <c:pt idx="75">
                  <c:v>603.74741782409194</c:v>
                </c:pt>
                <c:pt idx="76">
                  <c:v>587.59752111112823</c:v>
                </c:pt>
                <c:pt idx="77">
                  <c:v>572.09362026668305</c:v>
                </c:pt>
                <c:pt idx="78">
                  <c:v>557.20987545601577</c:v>
                </c:pt>
                <c:pt idx="79">
                  <c:v>542.92148043777513</c:v>
                </c:pt>
                <c:pt idx="80">
                  <c:v>529.20462122026413</c:v>
                </c:pt>
                <c:pt idx="81">
                  <c:v>516.03643637145353</c:v>
                </c:pt>
                <c:pt idx="82">
                  <c:v>542.44978646357549</c:v>
                </c:pt>
                <c:pt idx="83">
                  <c:v>565.23974888635269</c:v>
                </c:pt>
                <c:pt idx="84">
                  <c:v>585.17552317621198</c:v>
                </c:pt>
                <c:pt idx="85">
                  <c:v>602.79685981649504</c:v>
                </c:pt>
                <c:pt idx="86">
                  <c:v>618.49991230367925</c:v>
                </c:pt>
                <c:pt idx="87">
                  <c:v>632.58561229508985</c:v>
                </c:pt>
                <c:pt idx="88">
                  <c:v>645.28885823310702</c:v>
                </c:pt>
                <c:pt idx="89">
                  <c:v>656.79709165456211</c:v>
                </c:pt>
                <c:pt idx="90">
                  <c:v>667.26263677941199</c:v>
                </c:pt>
                <c:pt idx="91">
                  <c:v>676.81119095193424</c:v>
                </c:pt>
                <c:pt idx="92">
                  <c:v>657.73874331385684</c:v>
                </c:pt>
                <c:pt idx="93">
                  <c:v>639.42919358130257</c:v>
                </c:pt>
                <c:pt idx="94">
                  <c:v>621.85202583805051</c:v>
                </c:pt>
                <c:pt idx="95">
                  <c:v>604.97794480452853</c:v>
                </c:pt>
                <c:pt idx="96">
                  <c:v>588.77882701234739</c:v>
                </c:pt>
                <c:pt idx="97">
                  <c:v>573.22767393185347</c:v>
                </c:pt>
                <c:pt idx="98">
                  <c:v>558.29856697457933</c:v>
                </c:pt>
                <c:pt idx="99">
                  <c:v>543.96662429559615</c:v>
                </c:pt>
                <c:pt idx="100">
                  <c:v>530.20795932377234</c:v>
                </c:pt>
                <c:pt idx="101">
                  <c:v>516.99964095082146</c:v>
                </c:pt>
                <c:pt idx="102">
                  <c:v>543.27435404226196</c:v>
                </c:pt>
                <c:pt idx="103">
                  <c:v>565.95687331504325</c:v>
                </c:pt>
                <c:pt idx="104">
                  <c:v>585.80656612834071</c:v>
                </c:pt>
                <c:pt idx="105">
                  <c:v>603.35721410722863</c:v>
                </c:pt>
                <c:pt idx="106">
                  <c:v>619.00110383318383</c:v>
                </c:pt>
                <c:pt idx="107">
                  <c:v>633.03653440383516</c:v>
                </c:pt>
                <c:pt idx="108">
                  <c:v>645.69654044308118</c:v>
                </c:pt>
                <c:pt idx="109">
                  <c:v>657.1672013415423</c:v>
                </c:pt>
                <c:pt idx="110">
                  <c:v>667.59981928353659</c:v>
                </c:pt>
                <c:pt idx="111">
                  <c:v>677.11930759198253</c:v>
                </c:pt>
                <c:pt idx="112">
                  <c:v>658.03453528830323</c:v>
                </c:pt>
                <c:pt idx="113">
                  <c:v>639.71315387677112</c:v>
                </c:pt>
                <c:pt idx="114">
                  <c:v>622.12462772170022</c:v>
                </c:pt>
                <c:pt idx="115">
                  <c:v>605.2396426128322</c:v>
                </c:pt>
                <c:pt idx="116">
                  <c:v>589.0300569083189</c:v>
                </c:pt>
                <c:pt idx="117">
                  <c:v>573.46885463198612</c:v>
                </c:pt>
                <c:pt idx="118">
                  <c:v>558.53010044670668</c:v>
                </c:pt>
                <c:pt idx="119">
                  <c:v>544.18889642883846</c:v>
                </c:pt>
                <c:pt idx="120">
                  <c:v>530.42134057168494</c:v>
                </c:pt>
                <c:pt idx="121">
                  <c:v>517.20448694881759</c:v>
                </c:pt>
                <c:pt idx="122">
                  <c:v>543.44978251176974</c:v>
                </c:pt>
                <c:pt idx="123">
                  <c:v>566.10948509278671</c:v>
                </c:pt>
                <c:pt idx="124">
                  <c:v>585.94088698796281</c:v>
                </c:pt>
                <c:pt idx="125">
                  <c:v>603.47650816196165</c:v>
                </c:pt>
                <c:pt idx="126">
                  <c:v>619.10781688838881</c:v>
                </c:pt>
                <c:pt idx="127">
                  <c:v>633.13255466830708</c:v>
                </c:pt>
                <c:pt idx="128">
                  <c:v>645.78336107032101</c:v>
                </c:pt>
                <c:pt idx="129">
                  <c:v>657.24602659387347</c:v>
                </c:pt>
                <c:pt idx="130">
                  <c:v>667.67163655762636</c:v>
                </c:pt>
                <c:pt idx="131">
                  <c:v>677.18493785342844</c:v>
                </c:pt>
                <c:pt idx="132">
                  <c:v>658.0975403392913</c:v>
                </c:pt>
                <c:pt idx="133">
                  <c:v>639.77363872571959</c:v>
                </c:pt>
                <c:pt idx="134">
                  <c:v>622.1826931766908</c:v>
                </c:pt>
                <c:pt idx="135">
                  <c:v>605.29538544962315</c:v>
                </c:pt>
                <c:pt idx="136">
                  <c:v>589.08357003163826</c:v>
                </c:pt>
                <c:pt idx="137">
                  <c:v>573.52022723037271</c:v>
                </c:pt>
                <c:pt idx="138">
                  <c:v>558.57941814115782</c:v>
                </c:pt>
                <c:pt idx="139">
                  <c:v>544.23624141551147</c:v>
                </c:pt>
                <c:pt idx="140">
                  <c:v>530.46679175889096</c:v>
                </c:pt>
                <c:pt idx="141">
                  <c:v>517.2481200885353</c:v>
                </c:pt>
                <c:pt idx="142">
                  <c:v>543.48715259275639</c:v>
                </c:pt>
                <c:pt idx="143">
                  <c:v>566.14199662505632</c:v>
                </c:pt>
                <c:pt idx="144">
                  <c:v>585.96950320275948</c:v>
                </c:pt>
                <c:pt idx="145">
                  <c:v>603.5019239006208</c:v>
                </c:pt>
                <c:pt idx="146">
                  <c:v>619.13055287301722</c:v>
                </c:pt>
                <c:pt idx="147">
                  <c:v>633.1530129532191</c:v>
                </c:pt>
                <c:pt idx="148">
                  <c:v>645.80185962124756</c:v>
                </c:pt>
                <c:pt idx="149">
                  <c:v>657.26282187756715</c:v>
                </c:pt>
                <c:pt idx="150">
                  <c:v>667.68693886976939</c:v>
                </c:pt>
                <c:pt idx="151">
                  <c:v>677.19892205308849</c:v>
                </c:pt>
                <c:pt idx="152">
                  <c:v>658.11096517096496</c:v>
                </c:pt>
                <c:pt idx="153">
                  <c:v>639.78652656412635</c:v>
                </c:pt>
                <c:pt idx="154">
                  <c:v>622.19506550156132</c:v>
                </c:pt>
                <c:pt idx="155">
                  <c:v>605.3072628814989</c:v>
                </c:pt>
                <c:pt idx="156">
                  <c:v>589.09497236623895</c:v>
                </c:pt>
                <c:pt idx="157">
                  <c:v>573.53117347158934</c:v>
                </c:pt>
                <c:pt idx="158">
                  <c:v>558.58992653272571</c:v>
                </c:pt>
                <c:pt idx="159">
                  <c:v>544.24632947141663</c:v>
                </c:pt>
                <c:pt idx="160">
                  <c:v>530.47647629255994</c:v>
                </c:pt>
                <c:pt idx="161">
                  <c:v>517.25741724085754</c:v>
                </c:pt>
                <c:pt idx="162">
                  <c:v>543.49511537737214</c:v>
                </c:pt>
                <c:pt idx="163">
                  <c:v>566.14892424065374</c:v>
                </c:pt>
                <c:pt idx="164">
                  <c:v>585.97560085494558</c:v>
                </c:pt>
                <c:pt idx="165">
                  <c:v>603.50733962354605</c:v>
                </c:pt>
                <c:pt idx="166">
                  <c:v>619.13539760864535</c:v>
                </c:pt>
                <c:pt idx="167">
                  <c:v>633.15737236298264</c:v>
                </c:pt>
                <c:pt idx="168">
                  <c:v>645.80580145208705</c:v>
                </c:pt>
                <c:pt idx="169">
                  <c:v>657.26640077414027</c:v>
                </c:pt>
                <c:pt idx="170">
                  <c:v>667.69019963982362</c:v>
                </c:pt>
                <c:pt idx="171">
                  <c:v>677.20190195433167</c:v>
                </c:pt>
                <c:pt idx="172">
                  <c:v>658.11382587615844</c:v>
                </c:pt>
                <c:pt idx="173">
                  <c:v>639.78927284111205</c:v>
                </c:pt>
                <c:pt idx="174">
                  <c:v>622.19770192746762</c:v>
                </c:pt>
                <c:pt idx="175">
                  <c:v>605.30979385036892</c:v>
                </c:pt>
                <c:pt idx="176">
                  <c:v>589.09740209635413</c:v>
                </c:pt>
                <c:pt idx="177">
                  <c:v>573.53350601249997</c:v>
                </c:pt>
                <c:pt idx="178">
                  <c:v>558.59216577199993</c:v>
                </c:pt>
                <c:pt idx="179">
                  <c:v>544.2484791411199</c:v>
                </c:pt>
                <c:pt idx="180">
                  <c:v>530.47853997547509</c:v>
                </c:pt>
                <c:pt idx="181">
                  <c:v>517.25939837645603</c:v>
                </c:pt>
                <c:pt idx="182">
                  <c:v>543.49681217797945</c:v>
                </c:pt>
                <c:pt idx="183">
                  <c:v>566.150400459607</c:v>
                </c:pt>
                <c:pt idx="184">
                  <c:v>585.97690021802191</c:v>
                </c:pt>
                <c:pt idx="185">
                  <c:v>603.50849367454327</c:v>
                </c:pt>
                <c:pt idx="186">
                  <c:v>619.1364299877448</c:v>
                </c:pt>
                <c:pt idx="187">
                  <c:v>633.15830132353437</c:v>
                </c:pt>
                <c:pt idx="188">
                  <c:v>645.8066414301552</c:v>
                </c:pt>
                <c:pt idx="189">
                  <c:v>657.26716341389044</c:v>
                </c:pt>
                <c:pt idx="190">
                  <c:v>667.69089448931459</c:v>
                </c:pt>
                <c:pt idx="191">
                  <c:v>677.2025369528086</c:v>
                </c:pt>
                <c:pt idx="192">
                  <c:v>658.11443547469628</c:v>
                </c:pt>
                <c:pt idx="193">
                  <c:v>639.78985805570846</c:v>
                </c:pt>
                <c:pt idx="194">
                  <c:v>622.19826373348008</c:v>
                </c:pt>
                <c:pt idx="195">
                  <c:v>605.31033318414086</c:v>
                </c:pt>
                <c:pt idx="196">
                  <c:v>589.09791985677521</c:v>
                </c:pt>
                <c:pt idx="197">
                  <c:v>573.53400306250421</c:v>
                </c:pt>
                <c:pt idx="198">
                  <c:v>558.592642940004</c:v>
                </c:pt>
                <c:pt idx="199">
                  <c:v>544.24893722240381</c:v>
                </c:pt>
                <c:pt idx="200">
                  <c:v>530.47897973350769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3440"/>
        <c:axId val="209859712"/>
      </c:lineChart>
      <c:catAx>
        <c:axId val="20985344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</a:t>
                </a:r>
                <a:r>
                  <a:rPr lang="ru-RU" sz="1100">
                    <a:latin typeface="Times New Roman" pitchFamily="18" charset="0"/>
                    <a:cs typeface="Times New Roman" pitchFamily="18" charset="0"/>
                  </a:rPr>
                  <a:t>, </a:t>
                </a: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9272611193871035"/>
              <c:y val="0.8524743497971843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85971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9859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Number of cars, car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7.3652955542719326E-4"/>
              <c:y val="0.28831250639124656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9853440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"/>
          <c:y val="0.90036817978397865"/>
          <c:w val="1"/>
          <c:h val="9.9631820216021391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7401676141833"/>
          <c:y val="2.5742850900972308E-2"/>
          <c:w val="0.84900677955796067"/>
          <c:h val="0.77540500985763872"/>
        </c:manualLayout>
      </c:layout>
      <c:lineChart>
        <c:grouping val="standard"/>
        <c:varyColors val="0"/>
        <c:ser>
          <c:idx val="1"/>
          <c:order val="0"/>
          <c:tx>
            <c:strRef>
              <c:f>Model_1!$J$1</c:f>
              <c:strCache>
                <c:ptCount val="1"/>
                <c:pt idx="0">
                  <c:v>Number of passengers_1, people</c:v>
                </c:pt>
              </c:strCache>
            </c:strRef>
          </c:tx>
          <c:marker>
            <c:symbol val="none"/>
          </c:marker>
          <c:val>
            <c:numRef>
              <c:f>Contrast!$N$2:$N$202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Model_2!$J$1</c:f>
              <c:strCache>
                <c:ptCount val="1"/>
                <c:pt idx="0">
                  <c:v>Number of passengers_2, people</c:v>
                </c:pt>
              </c:strCache>
            </c:strRef>
          </c:tx>
          <c:marker>
            <c:symbol val="none"/>
          </c:marker>
          <c:cat>
            <c:numRef>
              <c:f>Model_2!$F$2:$F$202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Contrast!$O$2:$O$202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1600</c:v>
                </c:pt>
                <c:pt idx="4">
                  <c:v>1000</c:v>
                </c:pt>
                <c:pt idx="5">
                  <c:v>1000</c:v>
                </c:pt>
                <c:pt idx="6">
                  <c:v>1600</c:v>
                </c:pt>
                <c:pt idx="7">
                  <c:v>400</c:v>
                </c:pt>
                <c:pt idx="8">
                  <c:v>1000</c:v>
                </c:pt>
                <c:pt idx="9">
                  <c:v>1600</c:v>
                </c:pt>
                <c:pt idx="10">
                  <c:v>1000</c:v>
                </c:pt>
                <c:pt idx="11">
                  <c:v>1000</c:v>
                </c:pt>
                <c:pt idx="12">
                  <c:v>1600</c:v>
                </c:pt>
                <c:pt idx="13">
                  <c:v>1000</c:v>
                </c:pt>
                <c:pt idx="14">
                  <c:v>400</c:v>
                </c:pt>
                <c:pt idx="15">
                  <c:v>1600</c:v>
                </c:pt>
                <c:pt idx="16">
                  <c:v>1000</c:v>
                </c:pt>
                <c:pt idx="17">
                  <c:v>1000</c:v>
                </c:pt>
                <c:pt idx="18">
                  <c:v>1600</c:v>
                </c:pt>
                <c:pt idx="19">
                  <c:v>1000</c:v>
                </c:pt>
                <c:pt idx="20">
                  <c:v>1000</c:v>
                </c:pt>
                <c:pt idx="21">
                  <c:v>1600</c:v>
                </c:pt>
                <c:pt idx="22">
                  <c:v>1000</c:v>
                </c:pt>
                <c:pt idx="23">
                  <c:v>1000</c:v>
                </c:pt>
                <c:pt idx="24">
                  <c:v>1600</c:v>
                </c:pt>
                <c:pt idx="25">
                  <c:v>1000</c:v>
                </c:pt>
                <c:pt idx="26">
                  <c:v>1000</c:v>
                </c:pt>
                <c:pt idx="27">
                  <c:v>1600</c:v>
                </c:pt>
                <c:pt idx="28">
                  <c:v>400</c:v>
                </c:pt>
                <c:pt idx="29">
                  <c:v>1000</c:v>
                </c:pt>
                <c:pt idx="30">
                  <c:v>1600</c:v>
                </c:pt>
                <c:pt idx="31">
                  <c:v>1000</c:v>
                </c:pt>
                <c:pt idx="32">
                  <c:v>1000</c:v>
                </c:pt>
                <c:pt idx="33">
                  <c:v>1600</c:v>
                </c:pt>
                <c:pt idx="34">
                  <c:v>1000</c:v>
                </c:pt>
                <c:pt idx="35">
                  <c:v>400</c:v>
                </c:pt>
                <c:pt idx="36">
                  <c:v>1600</c:v>
                </c:pt>
                <c:pt idx="37">
                  <c:v>1000</c:v>
                </c:pt>
                <c:pt idx="38">
                  <c:v>1000</c:v>
                </c:pt>
                <c:pt idx="39">
                  <c:v>1600</c:v>
                </c:pt>
                <c:pt idx="40">
                  <c:v>1000</c:v>
                </c:pt>
                <c:pt idx="41">
                  <c:v>1000</c:v>
                </c:pt>
                <c:pt idx="42">
                  <c:v>1600</c:v>
                </c:pt>
                <c:pt idx="43">
                  <c:v>1000</c:v>
                </c:pt>
                <c:pt idx="44">
                  <c:v>1000</c:v>
                </c:pt>
                <c:pt idx="45">
                  <c:v>1600</c:v>
                </c:pt>
                <c:pt idx="46">
                  <c:v>1000</c:v>
                </c:pt>
                <c:pt idx="47">
                  <c:v>1000</c:v>
                </c:pt>
                <c:pt idx="48">
                  <c:v>1600</c:v>
                </c:pt>
                <c:pt idx="49">
                  <c:v>400</c:v>
                </c:pt>
                <c:pt idx="50">
                  <c:v>1000</c:v>
                </c:pt>
                <c:pt idx="51">
                  <c:v>1600</c:v>
                </c:pt>
                <c:pt idx="52">
                  <c:v>1000</c:v>
                </c:pt>
                <c:pt idx="53">
                  <c:v>1000</c:v>
                </c:pt>
                <c:pt idx="54">
                  <c:v>1600</c:v>
                </c:pt>
                <c:pt idx="55">
                  <c:v>1000</c:v>
                </c:pt>
                <c:pt idx="56">
                  <c:v>400</c:v>
                </c:pt>
                <c:pt idx="57">
                  <c:v>1600</c:v>
                </c:pt>
                <c:pt idx="58">
                  <c:v>1000</c:v>
                </c:pt>
                <c:pt idx="59">
                  <c:v>1000</c:v>
                </c:pt>
                <c:pt idx="60">
                  <c:v>1600</c:v>
                </c:pt>
                <c:pt idx="61">
                  <c:v>1000</c:v>
                </c:pt>
                <c:pt idx="62">
                  <c:v>1000</c:v>
                </c:pt>
                <c:pt idx="63">
                  <c:v>1600</c:v>
                </c:pt>
                <c:pt idx="64">
                  <c:v>1000</c:v>
                </c:pt>
                <c:pt idx="65">
                  <c:v>1000</c:v>
                </c:pt>
                <c:pt idx="66">
                  <c:v>1600</c:v>
                </c:pt>
                <c:pt idx="67">
                  <c:v>1000</c:v>
                </c:pt>
                <c:pt idx="68">
                  <c:v>1000</c:v>
                </c:pt>
                <c:pt idx="69">
                  <c:v>1600</c:v>
                </c:pt>
                <c:pt idx="70">
                  <c:v>400</c:v>
                </c:pt>
                <c:pt idx="71">
                  <c:v>1000</c:v>
                </c:pt>
                <c:pt idx="72">
                  <c:v>1600</c:v>
                </c:pt>
                <c:pt idx="73">
                  <c:v>1000</c:v>
                </c:pt>
                <c:pt idx="74">
                  <c:v>1000</c:v>
                </c:pt>
                <c:pt idx="75">
                  <c:v>1600</c:v>
                </c:pt>
                <c:pt idx="76">
                  <c:v>1000</c:v>
                </c:pt>
                <c:pt idx="77">
                  <c:v>400</c:v>
                </c:pt>
                <c:pt idx="78">
                  <c:v>1600</c:v>
                </c:pt>
                <c:pt idx="79">
                  <c:v>1000</c:v>
                </c:pt>
                <c:pt idx="80">
                  <c:v>1000</c:v>
                </c:pt>
                <c:pt idx="81">
                  <c:v>1600</c:v>
                </c:pt>
                <c:pt idx="82">
                  <c:v>1000</c:v>
                </c:pt>
                <c:pt idx="83">
                  <c:v>1000</c:v>
                </c:pt>
                <c:pt idx="84">
                  <c:v>1600</c:v>
                </c:pt>
                <c:pt idx="85">
                  <c:v>1000</c:v>
                </c:pt>
                <c:pt idx="86">
                  <c:v>1000</c:v>
                </c:pt>
                <c:pt idx="87">
                  <c:v>1600</c:v>
                </c:pt>
                <c:pt idx="88">
                  <c:v>1000</c:v>
                </c:pt>
                <c:pt idx="89">
                  <c:v>1000</c:v>
                </c:pt>
                <c:pt idx="90">
                  <c:v>1600</c:v>
                </c:pt>
                <c:pt idx="91">
                  <c:v>400</c:v>
                </c:pt>
                <c:pt idx="92">
                  <c:v>1000</c:v>
                </c:pt>
                <c:pt idx="93">
                  <c:v>1600</c:v>
                </c:pt>
                <c:pt idx="94">
                  <c:v>1000</c:v>
                </c:pt>
                <c:pt idx="95">
                  <c:v>1000</c:v>
                </c:pt>
                <c:pt idx="96">
                  <c:v>1600</c:v>
                </c:pt>
                <c:pt idx="97">
                  <c:v>1000</c:v>
                </c:pt>
                <c:pt idx="98">
                  <c:v>400</c:v>
                </c:pt>
                <c:pt idx="99">
                  <c:v>1600</c:v>
                </c:pt>
                <c:pt idx="100">
                  <c:v>1000</c:v>
                </c:pt>
                <c:pt idx="101">
                  <c:v>1000</c:v>
                </c:pt>
                <c:pt idx="102">
                  <c:v>1600</c:v>
                </c:pt>
                <c:pt idx="103">
                  <c:v>1000</c:v>
                </c:pt>
                <c:pt idx="104">
                  <c:v>1000</c:v>
                </c:pt>
                <c:pt idx="105">
                  <c:v>1600</c:v>
                </c:pt>
                <c:pt idx="106">
                  <c:v>1000</c:v>
                </c:pt>
                <c:pt idx="107">
                  <c:v>1000</c:v>
                </c:pt>
                <c:pt idx="108">
                  <c:v>1600</c:v>
                </c:pt>
                <c:pt idx="109">
                  <c:v>1000</c:v>
                </c:pt>
                <c:pt idx="110">
                  <c:v>1000</c:v>
                </c:pt>
                <c:pt idx="111">
                  <c:v>1600</c:v>
                </c:pt>
                <c:pt idx="112">
                  <c:v>400</c:v>
                </c:pt>
                <c:pt idx="113">
                  <c:v>1000</c:v>
                </c:pt>
                <c:pt idx="114">
                  <c:v>1600</c:v>
                </c:pt>
                <c:pt idx="115">
                  <c:v>1000</c:v>
                </c:pt>
                <c:pt idx="116">
                  <c:v>1000</c:v>
                </c:pt>
                <c:pt idx="117">
                  <c:v>1600</c:v>
                </c:pt>
                <c:pt idx="118">
                  <c:v>1000</c:v>
                </c:pt>
                <c:pt idx="119">
                  <c:v>400</c:v>
                </c:pt>
                <c:pt idx="120">
                  <c:v>1600</c:v>
                </c:pt>
                <c:pt idx="121">
                  <c:v>1000</c:v>
                </c:pt>
                <c:pt idx="122">
                  <c:v>1000</c:v>
                </c:pt>
                <c:pt idx="123">
                  <c:v>1600</c:v>
                </c:pt>
                <c:pt idx="124">
                  <c:v>1000</c:v>
                </c:pt>
                <c:pt idx="125">
                  <c:v>1000</c:v>
                </c:pt>
                <c:pt idx="126">
                  <c:v>1600</c:v>
                </c:pt>
                <c:pt idx="127">
                  <c:v>1000</c:v>
                </c:pt>
                <c:pt idx="128">
                  <c:v>1000</c:v>
                </c:pt>
                <c:pt idx="129">
                  <c:v>1600</c:v>
                </c:pt>
                <c:pt idx="130">
                  <c:v>1000</c:v>
                </c:pt>
                <c:pt idx="131">
                  <c:v>1000</c:v>
                </c:pt>
                <c:pt idx="132">
                  <c:v>1600</c:v>
                </c:pt>
                <c:pt idx="133">
                  <c:v>400</c:v>
                </c:pt>
                <c:pt idx="134">
                  <c:v>1000</c:v>
                </c:pt>
                <c:pt idx="135">
                  <c:v>1600</c:v>
                </c:pt>
                <c:pt idx="136">
                  <c:v>1000</c:v>
                </c:pt>
                <c:pt idx="137">
                  <c:v>1000</c:v>
                </c:pt>
                <c:pt idx="138">
                  <c:v>1600</c:v>
                </c:pt>
                <c:pt idx="139">
                  <c:v>1000</c:v>
                </c:pt>
                <c:pt idx="140">
                  <c:v>400</c:v>
                </c:pt>
                <c:pt idx="141">
                  <c:v>1600</c:v>
                </c:pt>
                <c:pt idx="142">
                  <c:v>1000</c:v>
                </c:pt>
                <c:pt idx="143">
                  <c:v>1000</c:v>
                </c:pt>
                <c:pt idx="144">
                  <c:v>1600</c:v>
                </c:pt>
                <c:pt idx="145">
                  <c:v>1000</c:v>
                </c:pt>
                <c:pt idx="146">
                  <c:v>1000</c:v>
                </c:pt>
                <c:pt idx="147">
                  <c:v>1600</c:v>
                </c:pt>
                <c:pt idx="148">
                  <c:v>1000</c:v>
                </c:pt>
                <c:pt idx="149">
                  <c:v>1000</c:v>
                </c:pt>
                <c:pt idx="150">
                  <c:v>1600</c:v>
                </c:pt>
                <c:pt idx="151">
                  <c:v>1000</c:v>
                </c:pt>
                <c:pt idx="152">
                  <c:v>1000</c:v>
                </c:pt>
                <c:pt idx="153">
                  <c:v>1600</c:v>
                </c:pt>
                <c:pt idx="154">
                  <c:v>400</c:v>
                </c:pt>
                <c:pt idx="155">
                  <c:v>1000</c:v>
                </c:pt>
                <c:pt idx="156">
                  <c:v>1600</c:v>
                </c:pt>
                <c:pt idx="157">
                  <c:v>1000</c:v>
                </c:pt>
                <c:pt idx="158">
                  <c:v>1000</c:v>
                </c:pt>
                <c:pt idx="159">
                  <c:v>1600</c:v>
                </c:pt>
                <c:pt idx="160">
                  <c:v>1000</c:v>
                </c:pt>
                <c:pt idx="161">
                  <c:v>400</c:v>
                </c:pt>
                <c:pt idx="162">
                  <c:v>1600</c:v>
                </c:pt>
                <c:pt idx="163">
                  <c:v>1000</c:v>
                </c:pt>
                <c:pt idx="164">
                  <c:v>1000</c:v>
                </c:pt>
                <c:pt idx="165">
                  <c:v>1600</c:v>
                </c:pt>
                <c:pt idx="166">
                  <c:v>1000</c:v>
                </c:pt>
                <c:pt idx="167">
                  <c:v>1000</c:v>
                </c:pt>
                <c:pt idx="168">
                  <c:v>1600</c:v>
                </c:pt>
                <c:pt idx="169">
                  <c:v>1000</c:v>
                </c:pt>
                <c:pt idx="170">
                  <c:v>1000</c:v>
                </c:pt>
                <c:pt idx="171">
                  <c:v>1600</c:v>
                </c:pt>
                <c:pt idx="172">
                  <c:v>1000</c:v>
                </c:pt>
                <c:pt idx="173">
                  <c:v>1000</c:v>
                </c:pt>
                <c:pt idx="174">
                  <c:v>1600</c:v>
                </c:pt>
                <c:pt idx="175">
                  <c:v>400</c:v>
                </c:pt>
                <c:pt idx="176">
                  <c:v>1000</c:v>
                </c:pt>
                <c:pt idx="177">
                  <c:v>1600</c:v>
                </c:pt>
                <c:pt idx="178">
                  <c:v>1000</c:v>
                </c:pt>
                <c:pt idx="179">
                  <c:v>1000</c:v>
                </c:pt>
                <c:pt idx="180">
                  <c:v>1600</c:v>
                </c:pt>
                <c:pt idx="181">
                  <c:v>1000</c:v>
                </c:pt>
                <c:pt idx="182">
                  <c:v>400</c:v>
                </c:pt>
                <c:pt idx="183">
                  <c:v>1600</c:v>
                </c:pt>
                <c:pt idx="184">
                  <c:v>1000</c:v>
                </c:pt>
                <c:pt idx="185">
                  <c:v>1000</c:v>
                </c:pt>
                <c:pt idx="186">
                  <c:v>1600</c:v>
                </c:pt>
                <c:pt idx="187">
                  <c:v>1000</c:v>
                </c:pt>
                <c:pt idx="188">
                  <c:v>1000</c:v>
                </c:pt>
                <c:pt idx="189">
                  <c:v>1600</c:v>
                </c:pt>
                <c:pt idx="190">
                  <c:v>1000</c:v>
                </c:pt>
                <c:pt idx="191">
                  <c:v>1000</c:v>
                </c:pt>
                <c:pt idx="192">
                  <c:v>1600</c:v>
                </c:pt>
                <c:pt idx="193">
                  <c:v>1000</c:v>
                </c:pt>
                <c:pt idx="194">
                  <c:v>1000</c:v>
                </c:pt>
                <c:pt idx="195">
                  <c:v>1600</c:v>
                </c:pt>
                <c:pt idx="196">
                  <c:v>400</c:v>
                </c:pt>
                <c:pt idx="197">
                  <c:v>1000</c:v>
                </c:pt>
                <c:pt idx="198">
                  <c:v>1600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Model_3!$J$1</c:f>
              <c:strCache>
                <c:ptCount val="1"/>
                <c:pt idx="0">
                  <c:v>Number of passengers_3, people</c:v>
                </c:pt>
              </c:strCache>
            </c:strRef>
          </c:tx>
          <c:marker>
            <c:symbol val="none"/>
          </c:marker>
          <c:val>
            <c:numRef>
              <c:f>Contrast!$P$2:$P$202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1600</c:v>
                </c:pt>
                <c:pt idx="4">
                  <c:v>1000</c:v>
                </c:pt>
                <c:pt idx="5">
                  <c:v>1000</c:v>
                </c:pt>
                <c:pt idx="6">
                  <c:v>1600</c:v>
                </c:pt>
                <c:pt idx="7">
                  <c:v>400</c:v>
                </c:pt>
                <c:pt idx="8">
                  <c:v>1000</c:v>
                </c:pt>
                <c:pt idx="9">
                  <c:v>1600</c:v>
                </c:pt>
                <c:pt idx="10">
                  <c:v>1000</c:v>
                </c:pt>
                <c:pt idx="11">
                  <c:v>1000</c:v>
                </c:pt>
                <c:pt idx="12">
                  <c:v>1600</c:v>
                </c:pt>
                <c:pt idx="13">
                  <c:v>1000</c:v>
                </c:pt>
                <c:pt idx="14">
                  <c:v>400</c:v>
                </c:pt>
                <c:pt idx="15">
                  <c:v>1600</c:v>
                </c:pt>
                <c:pt idx="16">
                  <c:v>1000</c:v>
                </c:pt>
                <c:pt idx="17">
                  <c:v>1000</c:v>
                </c:pt>
                <c:pt idx="18">
                  <c:v>1600</c:v>
                </c:pt>
                <c:pt idx="19">
                  <c:v>1000</c:v>
                </c:pt>
                <c:pt idx="20">
                  <c:v>1000</c:v>
                </c:pt>
                <c:pt idx="21">
                  <c:v>1600</c:v>
                </c:pt>
                <c:pt idx="22">
                  <c:v>1000</c:v>
                </c:pt>
                <c:pt idx="23">
                  <c:v>1000</c:v>
                </c:pt>
                <c:pt idx="24">
                  <c:v>1600</c:v>
                </c:pt>
                <c:pt idx="25">
                  <c:v>1000</c:v>
                </c:pt>
                <c:pt idx="26">
                  <c:v>1000</c:v>
                </c:pt>
                <c:pt idx="27">
                  <c:v>1600</c:v>
                </c:pt>
                <c:pt idx="28">
                  <c:v>400</c:v>
                </c:pt>
                <c:pt idx="29">
                  <c:v>1000</c:v>
                </c:pt>
                <c:pt idx="30">
                  <c:v>1600</c:v>
                </c:pt>
                <c:pt idx="31">
                  <c:v>1000</c:v>
                </c:pt>
                <c:pt idx="32">
                  <c:v>1000</c:v>
                </c:pt>
                <c:pt idx="33">
                  <c:v>1600</c:v>
                </c:pt>
                <c:pt idx="34">
                  <c:v>1000</c:v>
                </c:pt>
                <c:pt idx="35">
                  <c:v>400</c:v>
                </c:pt>
                <c:pt idx="36">
                  <c:v>1600</c:v>
                </c:pt>
                <c:pt idx="37">
                  <c:v>1000</c:v>
                </c:pt>
                <c:pt idx="38">
                  <c:v>1000</c:v>
                </c:pt>
                <c:pt idx="39">
                  <c:v>1600</c:v>
                </c:pt>
                <c:pt idx="40">
                  <c:v>1000</c:v>
                </c:pt>
                <c:pt idx="41">
                  <c:v>1000</c:v>
                </c:pt>
                <c:pt idx="42">
                  <c:v>1600</c:v>
                </c:pt>
                <c:pt idx="43">
                  <c:v>1000</c:v>
                </c:pt>
                <c:pt idx="44">
                  <c:v>1000</c:v>
                </c:pt>
                <c:pt idx="45">
                  <c:v>1600</c:v>
                </c:pt>
                <c:pt idx="46">
                  <c:v>1000</c:v>
                </c:pt>
                <c:pt idx="47">
                  <c:v>1000</c:v>
                </c:pt>
                <c:pt idx="48">
                  <c:v>1600</c:v>
                </c:pt>
                <c:pt idx="49">
                  <c:v>400</c:v>
                </c:pt>
                <c:pt idx="50">
                  <c:v>1000</c:v>
                </c:pt>
                <c:pt idx="51">
                  <c:v>1600</c:v>
                </c:pt>
                <c:pt idx="52">
                  <c:v>1000</c:v>
                </c:pt>
                <c:pt idx="53">
                  <c:v>1000</c:v>
                </c:pt>
                <c:pt idx="54">
                  <c:v>1600</c:v>
                </c:pt>
                <c:pt idx="55">
                  <c:v>1000</c:v>
                </c:pt>
                <c:pt idx="56">
                  <c:v>400</c:v>
                </c:pt>
                <c:pt idx="57">
                  <c:v>1600</c:v>
                </c:pt>
                <c:pt idx="58">
                  <c:v>1000</c:v>
                </c:pt>
                <c:pt idx="59">
                  <c:v>1000</c:v>
                </c:pt>
                <c:pt idx="60">
                  <c:v>1600</c:v>
                </c:pt>
                <c:pt idx="61">
                  <c:v>1000</c:v>
                </c:pt>
                <c:pt idx="62">
                  <c:v>1000</c:v>
                </c:pt>
                <c:pt idx="63">
                  <c:v>1600</c:v>
                </c:pt>
                <c:pt idx="64">
                  <c:v>1000</c:v>
                </c:pt>
                <c:pt idx="65">
                  <c:v>1000</c:v>
                </c:pt>
                <c:pt idx="66">
                  <c:v>1600</c:v>
                </c:pt>
                <c:pt idx="67">
                  <c:v>1000</c:v>
                </c:pt>
                <c:pt idx="68">
                  <c:v>1000</c:v>
                </c:pt>
                <c:pt idx="69">
                  <c:v>1600</c:v>
                </c:pt>
                <c:pt idx="70">
                  <c:v>400</c:v>
                </c:pt>
                <c:pt idx="71">
                  <c:v>1000</c:v>
                </c:pt>
                <c:pt idx="72">
                  <c:v>1600</c:v>
                </c:pt>
                <c:pt idx="73">
                  <c:v>1000</c:v>
                </c:pt>
                <c:pt idx="74">
                  <c:v>1000</c:v>
                </c:pt>
                <c:pt idx="75">
                  <c:v>1600</c:v>
                </c:pt>
                <c:pt idx="76">
                  <c:v>1000</c:v>
                </c:pt>
                <c:pt idx="77">
                  <c:v>400</c:v>
                </c:pt>
                <c:pt idx="78">
                  <c:v>1600</c:v>
                </c:pt>
                <c:pt idx="79">
                  <c:v>1000</c:v>
                </c:pt>
                <c:pt idx="80">
                  <c:v>1000</c:v>
                </c:pt>
                <c:pt idx="81">
                  <c:v>1600</c:v>
                </c:pt>
                <c:pt idx="82">
                  <c:v>1000</c:v>
                </c:pt>
                <c:pt idx="83">
                  <c:v>1000</c:v>
                </c:pt>
                <c:pt idx="84">
                  <c:v>1600</c:v>
                </c:pt>
                <c:pt idx="85">
                  <c:v>1000</c:v>
                </c:pt>
                <c:pt idx="86">
                  <c:v>1000</c:v>
                </c:pt>
                <c:pt idx="87">
                  <c:v>1600</c:v>
                </c:pt>
                <c:pt idx="88">
                  <c:v>1000</c:v>
                </c:pt>
                <c:pt idx="89">
                  <c:v>1000</c:v>
                </c:pt>
                <c:pt idx="90">
                  <c:v>1600</c:v>
                </c:pt>
                <c:pt idx="91">
                  <c:v>400</c:v>
                </c:pt>
                <c:pt idx="92">
                  <c:v>1000</c:v>
                </c:pt>
                <c:pt idx="93">
                  <c:v>1600</c:v>
                </c:pt>
                <c:pt idx="94">
                  <c:v>1000</c:v>
                </c:pt>
                <c:pt idx="95">
                  <c:v>1000</c:v>
                </c:pt>
                <c:pt idx="96">
                  <c:v>1600</c:v>
                </c:pt>
                <c:pt idx="97">
                  <c:v>1000</c:v>
                </c:pt>
                <c:pt idx="98">
                  <c:v>400</c:v>
                </c:pt>
                <c:pt idx="99">
                  <c:v>1600</c:v>
                </c:pt>
                <c:pt idx="100">
                  <c:v>1000</c:v>
                </c:pt>
                <c:pt idx="101">
                  <c:v>1000</c:v>
                </c:pt>
                <c:pt idx="102">
                  <c:v>1600</c:v>
                </c:pt>
                <c:pt idx="103">
                  <c:v>1000</c:v>
                </c:pt>
                <c:pt idx="104">
                  <c:v>1000</c:v>
                </c:pt>
                <c:pt idx="105">
                  <c:v>1600</c:v>
                </c:pt>
                <c:pt idx="106">
                  <c:v>1000</c:v>
                </c:pt>
                <c:pt idx="107">
                  <c:v>1000</c:v>
                </c:pt>
                <c:pt idx="108">
                  <c:v>1600</c:v>
                </c:pt>
                <c:pt idx="109">
                  <c:v>1000</c:v>
                </c:pt>
                <c:pt idx="110">
                  <c:v>1000</c:v>
                </c:pt>
                <c:pt idx="111">
                  <c:v>1600</c:v>
                </c:pt>
                <c:pt idx="112">
                  <c:v>400</c:v>
                </c:pt>
                <c:pt idx="113">
                  <c:v>1000</c:v>
                </c:pt>
                <c:pt idx="114">
                  <c:v>1600</c:v>
                </c:pt>
                <c:pt idx="115">
                  <c:v>1000</c:v>
                </c:pt>
                <c:pt idx="116">
                  <c:v>1000</c:v>
                </c:pt>
                <c:pt idx="117">
                  <c:v>1600</c:v>
                </c:pt>
                <c:pt idx="118">
                  <c:v>1000</c:v>
                </c:pt>
                <c:pt idx="119">
                  <c:v>400</c:v>
                </c:pt>
                <c:pt idx="120">
                  <c:v>1600</c:v>
                </c:pt>
                <c:pt idx="121">
                  <c:v>1000</c:v>
                </c:pt>
                <c:pt idx="122">
                  <c:v>1000</c:v>
                </c:pt>
                <c:pt idx="123">
                  <c:v>1600</c:v>
                </c:pt>
                <c:pt idx="124">
                  <c:v>1000</c:v>
                </c:pt>
                <c:pt idx="125">
                  <c:v>1000</c:v>
                </c:pt>
                <c:pt idx="126">
                  <c:v>1600</c:v>
                </c:pt>
                <c:pt idx="127">
                  <c:v>1000</c:v>
                </c:pt>
                <c:pt idx="128">
                  <c:v>1000</c:v>
                </c:pt>
                <c:pt idx="129">
                  <c:v>1600</c:v>
                </c:pt>
                <c:pt idx="130">
                  <c:v>1000</c:v>
                </c:pt>
                <c:pt idx="131">
                  <c:v>1000</c:v>
                </c:pt>
                <c:pt idx="132">
                  <c:v>1600</c:v>
                </c:pt>
                <c:pt idx="133">
                  <c:v>400</c:v>
                </c:pt>
                <c:pt idx="134">
                  <c:v>1000</c:v>
                </c:pt>
                <c:pt idx="135">
                  <c:v>1600</c:v>
                </c:pt>
                <c:pt idx="136">
                  <c:v>1000</c:v>
                </c:pt>
                <c:pt idx="137">
                  <c:v>1000</c:v>
                </c:pt>
                <c:pt idx="138">
                  <c:v>1600</c:v>
                </c:pt>
                <c:pt idx="139">
                  <c:v>1000</c:v>
                </c:pt>
                <c:pt idx="140">
                  <c:v>400</c:v>
                </c:pt>
                <c:pt idx="141">
                  <c:v>1600</c:v>
                </c:pt>
                <c:pt idx="142">
                  <c:v>1000</c:v>
                </c:pt>
                <c:pt idx="143">
                  <c:v>1000</c:v>
                </c:pt>
                <c:pt idx="144">
                  <c:v>1600</c:v>
                </c:pt>
                <c:pt idx="145">
                  <c:v>1000</c:v>
                </c:pt>
                <c:pt idx="146">
                  <c:v>1000</c:v>
                </c:pt>
                <c:pt idx="147">
                  <c:v>1600</c:v>
                </c:pt>
                <c:pt idx="148">
                  <c:v>1000</c:v>
                </c:pt>
                <c:pt idx="149">
                  <c:v>1000</c:v>
                </c:pt>
                <c:pt idx="150">
                  <c:v>1600</c:v>
                </c:pt>
                <c:pt idx="151">
                  <c:v>1000</c:v>
                </c:pt>
                <c:pt idx="152">
                  <c:v>1000</c:v>
                </c:pt>
                <c:pt idx="153">
                  <c:v>1600</c:v>
                </c:pt>
                <c:pt idx="154">
                  <c:v>400</c:v>
                </c:pt>
                <c:pt idx="155">
                  <c:v>1000</c:v>
                </c:pt>
                <c:pt idx="156">
                  <c:v>1600</c:v>
                </c:pt>
                <c:pt idx="157">
                  <c:v>1000</c:v>
                </c:pt>
                <c:pt idx="158">
                  <c:v>1000</c:v>
                </c:pt>
                <c:pt idx="159">
                  <c:v>1600</c:v>
                </c:pt>
                <c:pt idx="160">
                  <c:v>1000</c:v>
                </c:pt>
                <c:pt idx="161">
                  <c:v>400</c:v>
                </c:pt>
                <c:pt idx="162">
                  <c:v>1600</c:v>
                </c:pt>
                <c:pt idx="163">
                  <c:v>1000</c:v>
                </c:pt>
                <c:pt idx="164">
                  <c:v>1000</c:v>
                </c:pt>
                <c:pt idx="165">
                  <c:v>1600</c:v>
                </c:pt>
                <c:pt idx="166">
                  <c:v>1000</c:v>
                </c:pt>
                <c:pt idx="167">
                  <c:v>1000</c:v>
                </c:pt>
                <c:pt idx="168">
                  <c:v>1600</c:v>
                </c:pt>
                <c:pt idx="169">
                  <c:v>1000</c:v>
                </c:pt>
                <c:pt idx="170">
                  <c:v>1000</c:v>
                </c:pt>
                <c:pt idx="171">
                  <c:v>1600</c:v>
                </c:pt>
                <c:pt idx="172">
                  <c:v>1000</c:v>
                </c:pt>
                <c:pt idx="173">
                  <c:v>1000</c:v>
                </c:pt>
                <c:pt idx="174">
                  <c:v>1600</c:v>
                </c:pt>
                <c:pt idx="175">
                  <c:v>400</c:v>
                </c:pt>
                <c:pt idx="176">
                  <c:v>1000</c:v>
                </c:pt>
                <c:pt idx="177">
                  <c:v>1600</c:v>
                </c:pt>
                <c:pt idx="178">
                  <c:v>1000</c:v>
                </c:pt>
                <c:pt idx="179">
                  <c:v>1000</c:v>
                </c:pt>
                <c:pt idx="180">
                  <c:v>1600</c:v>
                </c:pt>
                <c:pt idx="181">
                  <c:v>1000</c:v>
                </c:pt>
                <c:pt idx="182">
                  <c:v>400</c:v>
                </c:pt>
                <c:pt idx="183">
                  <c:v>1600</c:v>
                </c:pt>
                <c:pt idx="184">
                  <c:v>1000</c:v>
                </c:pt>
                <c:pt idx="185">
                  <c:v>1000</c:v>
                </c:pt>
                <c:pt idx="186">
                  <c:v>1600</c:v>
                </c:pt>
                <c:pt idx="187">
                  <c:v>1000</c:v>
                </c:pt>
                <c:pt idx="188">
                  <c:v>1000</c:v>
                </c:pt>
                <c:pt idx="189">
                  <c:v>1600</c:v>
                </c:pt>
                <c:pt idx="190">
                  <c:v>1000</c:v>
                </c:pt>
                <c:pt idx="191">
                  <c:v>1000</c:v>
                </c:pt>
                <c:pt idx="192">
                  <c:v>1600</c:v>
                </c:pt>
                <c:pt idx="193">
                  <c:v>1000</c:v>
                </c:pt>
                <c:pt idx="194">
                  <c:v>1000</c:v>
                </c:pt>
                <c:pt idx="195">
                  <c:v>1600</c:v>
                </c:pt>
                <c:pt idx="196">
                  <c:v>400</c:v>
                </c:pt>
                <c:pt idx="197">
                  <c:v>1000</c:v>
                </c:pt>
                <c:pt idx="198">
                  <c:v>1600</c:v>
                </c:pt>
                <c:pt idx="199">
                  <c:v>1000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Model_4!$J$1</c:f>
              <c:strCache>
                <c:ptCount val="1"/>
                <c:pt idx="0">
                  <c:v>Number of passengers_4, people</c:v>
                </c:pt>
              </c:strCache>
            </c:strRef>
          </c:tx>
          <c:marker>
            <c:symbol val="none"/>
          </c:marker>
          <c:val>
            <c:numRef>
              <c:f>Contrast!$Q$2:$Q$202</c:f>
              <c:numCache>
                <c:formatCode>0.00</c:formatCode>
                <c:ptCount val="2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1600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1600</c:v>
                </c:pt>
                <c:pt idx="26">
                  <c:v>1600</c:v>
                </c:pt>
                <c:pt idx="27">
                  <c:v>1600</c:v>
                </c:pt>
                <c:pt idx="28">
                  <c:v>1600</c:v>
                </c:pt>
                <c:pt idx="29">
                  <c:v>1600</c:v>
                </c:pt>
                <c:pt idx="30">
                  <c:v>1600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  <c:pt idx="41">
                  <c:v>1600</c:v>
                </c:pt>
                <c:pt idx="42">
                  <c:v>1600</c:v>
                </c:pt>
                <c:pt idx="43">
                  <c:v>1600</c:v>
                </c:pt>
                <c:pt idx="44">
                  <c:v>1600</c:v>
                </c:pt>
                <c:pt idx="45">
                  <c:v>1600</c:v>
                </c:pt>
                <c:pt idx="46">
                  <c:v>1600</c:v>
                </c:pt>
                <c:pt idx="47">
                  <c:v>1600</c:v>
                </c:pt>
                <c:pt idx="48">
                  <c:v>1600</c:v>
                </c:pt>
                <c:pt idx="49">
                  <c:v>1600</c:v>
                </c:pt>
                <c:pt idx="50">
                  <c:v>1600</c:v>
                </c:pt>
                <c:pt idx="51">
                  <c:v>400</c:v>
                </c:pt>
                <c:pt idx="52">
                  <c:v>400</c:v>
                </c:pt>
                <c:pt idx="53">
                  <c:v>400</c:v>
                </c:pt>
                <c:pt idx="54">
                  <c:v>400</c:v>
                </c:pt>
                <c:pt idx="55">
                  <c:v>400</c:v>
                </c:pt>
                <c:pt idx="56">
                  <c:v>400</c:v>
                </c:pt>
                <c:pt idx="57">
                  <c:v>400</c:v>
                </c:pt>
                <c:pt idx="58">
                  <c:v>400</c:v>
                </c:pt>
                <c:pt idx="59">
                  <c:v>400</c:v>
                </c:pt>
                <c:pt idx="60">
                  <c:v>400</c:v>
                </c:pt>
                <c:pt idx="61">
                  <c:v>1600</c:v>
                </c:pt>
                <c:pt idx="62">
                  <c:v>1600</c:v>
                </c:pt>
                <c:pt idx="63">
                  <c:v>1600</c:v>
                </c:pt>
                <c:pt idx="64">
                  <c:v>1600</c:v>
                </c:pt>
                <c:pt idx="65">
                  <c:v>1600</c:v>
                </c:pt>
                <c:pt idx="66">
                  <c:v>1600</c:v>
                </c:pt>
                <c:pt idx="67">
                  <c:v>1600</c:v>
                </c:pt>
                <c:pt idx="68">
                  <c:v>1600</c:v>
                </c:pt>
                <c:pt idx="69">
                  <c:v>1600</c:v>
                </c:pt>
                <c:pt idx="70">
                  <c:v>1600</c:v>
                </c:pt>
                <c:pt idx="71">
                  <c:v>400</c:v>
                </c:pt>
                <c:pt idx="72">
                  <c:v>400</c:v>
                </c:pt>
                <c:pt idx="73">
                  <c:v>400</c:v>
                </c:pt>
                <c:pt idx="74">
                  <c:v>400</c:v>
                </c:pt>
                <c:pt idx="75">
                  <c:v>400</c:v>
                </c:pt>
                <c:pt idx="76">
                  <c:v>400</c:v>
                </c:pt>
                <c:pt idx="77">
                  <c:v>400</c:v>
                </c:pt>
                <c:pt idx="78">
                  <c:v>400</c:v>
                </c:pt>
                <c:pt idx="79">
                  <c:v>400</c:v>
                </c:pt>
                <c:pt idx="80">
                  <c:v>400</c:v>
                </c:pt>
                <c:pt idx="81">
                  <c:v>1600</c:v>
                </c:pt>
                <c:pt idx="82">
                  <c:v>1600</c:v>
                </c:pt>
                <c:pt idx="83">
                  <c:v>1600</c:v>
                </c:pt>
                <c:pt idx="84">
                  <c:v>1600</c:v>
                </c:pt>
                <c:pt idx="85">
                  <c:v>1600</c:v>
                </c:pt>
                <c:pt idx="86">
                  <c:v>1600</c:v>
                </c:pt>
                <c:pt idx="87">
                  <c:v>1600</c:v>
                </c:pt>
                <c:pt idx="88">
                  <c:v>1600</c:v>
                </c:pt>
                <c:pt idx="89">
                  <c:v>1600</c:v>
                </c:pt>
                <c:pt idx="90">
                  <c:v>1600</c:v>
                </c:pt>
                <c:pt idx="91">
                  <c:v>400</c:v>
                </c:pt>
                <c:pt idx="92">
                  <c:v>400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400</c:v>
                </c:pt>
                <c:pt idx="99">
                  <c:v>400</c:v>
                </c:pt>
                <c:pt idx="100">
                  <c:v>400</c:v>
                </c:pt>
                <c:pt idx="101">
                  <c:v>1600</c:v>
                </c:pt>
                <c:pt idx="102">
                  <c:v>1600</c:v>
                </c:pt>
                <c:pt idx="103">
                  <c:v>1600</c:v>
                </c:pt>
                <c:pt idx="104">
                  <c:v>1600</c:v>
                </c:pt>
                <c:pt idx="105">
                  <c:v>1600</c:v>
                </c:pt>
                <c:pt idx="106">
                  <c:v>1600</c:v>
                </c:pt>
                <c:pt idx="107">
                  <c:v>1600</c:v>
                </c:pt>
                <c:pt idx="108">
                  <c:v>1600</c:v>
                </c:pt>
                <c:pt idx="109">
                  <c:v>1600</c:v>
                </c:pt>
                <c:pt idx="110">
                  <c:v>1600</c:v>
                </c:pt>
                <c:pt idx="111">
                  <c:v>400</c:v>
                </c:pt>
                <c:pt idx="112">
                  <c:v>400</c:v>
                </c:pt>
                <c:pt idx="113">
                  <c:v>400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1600</c:v>
                </c:pt>
                <c:pt idx="122">
                  <c:v>1600</c:v>
                </c:pt>
                <c:pt idx="123">
                  <c:v>1600</c:v>
                </c:pt>
                <c:pt idx="124">
                  <c:v>1600</c:v>
                </c:pt>
                <c:pt idx="125">
                  <c:v>1600</c:v>
                </c:pt>
                <c:pt idx="126">
                  <c:v>1600</c:v>
                </c:pt>
                <c:pt idx="127">
                  <c:v>1600</c:v>
                </c:pt>
                <c:pt idx="128">
                  <c:v>1600</c:v>
                </c:pt>
                <c:pt idx="129">
                  <c:v>1600</c:v>
                </c:pt>
                <c:pt idx="130">
                  <c:v>1600</c:v>
                </c:pt>
                <c:pt idx="131">
                  <c:v>400</c:v>
                </c:pt>
                <c:pt idx="132">
                  <c:v>400</c:v>
                </c:pt>
                <c:pt idx="133">
                  <c:v>400</c:v>
                </c:pt>
                <c:pt idx="134">
                  <c:v>400</c:v>
                </c:pt>
                <c:pt idx="135">
                  <c:v>400</c:v>
                </c:pt>
                <c:pt idx="136">
                  <c:v>400</c:v>
                </c:pt>
                <c:pt idx="137">
                  <c:v>400</c:v>
                </c:pt>
                <c:pt idx="138">
                  <c:v>400</c:v>
                </c:pt>
                <c:pt idx="139">
                  <c:v>400</c:v>
                </c:pt>
                <c:pt idx="140">
                  <c:v>400</c:v>
                </c:pt>
                <c:pt idx="141">
                  <c:v>1600</c:v>
                </c:pt>
                <c:pt idx="142">
                  <c:v>1600</c:v>
                </c:pt>
                <c:pt idx="143">
                  <c:v>1600</c:v>
                </c:pt>
                <c:pt idx="144">
                  <c:v>1600</c:v>
                </c:pt>
                <c:pt idx="145">
                  <c:v>1600</c:v>
                </c:pt>
                <c:pt idx="146">
                  <c:v>1600</c:v>
                </c:pt>
                <c:pt idx="147">
                  <c:v>1600</c:v>
                </c:pt>
                <c:pt idx="148">
                  <c:v>1600</c:v>
                </c:pt>
                <c:pt idx="149">
                  <c:v>1600</c:v>
                </c:pt>
                <c:pt idx="150">
                  <c:v>1600</c:v>
                </c:pt>
                <c:pt idx="151">
                  <c:v>400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1600</c:v>
                </c:pt>
                <c:pt idx="162">
                  <c:v>1600</c:v>
                </c:pt>
                <c:pt idx="163">
                  <c:v>1600</c:v>
                </c:pt>
                <c:pt idx="164">
                  <c:v>1600</c:v>
                </c:pt>
                <c:pt idx="165">
                  <c:v>1600</c:v>
                </c:pt>
                <c:pt idx="166">
                  <c:v>1600</c:v>
                </c:pt>
                <c:pt idx="167">
                  <c:v>1600</c:v>
                </c:pt>
                <c:pt idx="168">
                  <c:v>1600</c:v>
                </c:pt>
                <c:pt idx="169">
                  <c:v>1600</c:v>
                </c:pt>
                <c:pt idx="170">
                  <c:v>1600</c:v>
                </c:pt>
                <c:pt idx="171">
                  <c:v>400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1600</c:v>
                </c:pt>
                <c:pt idx="182">
                  <c:v>1600</c:v>
                </c:pt>
                <c:pt idx="183">
                  <c:v>1600</c:v>
                </c:pt>
                <c:pt idx="184">
                  <c:v>1600</c:v>
                </c:pt>
                <c:pt idx="185">
                  <c:v>1600</c:v>
                </c:pt>
                <c:pt idx="186">
                  <c:v>1600</c:v>
                </c:pt>
                <c:pt idx="187">
                  <c:v>1600</c:v>
                </c:pt>
                <c:pt idx="188">
                  <c:v>1600</c:v>
                </c:pt>
                <c:pt idx="189">
                  <c:v>1600</c:v>
                </c:pt>
                <c:pt idx="190">
                  <c:v>1600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400</c:v>
                </c:pt>
                <c:pt idx="199">
                  <c:v>400</c:v>
                </c:pt>
                <c:pt idx="200">
                  <c:v>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87232"/>
        <c:axId val="209889152"/>
      </c:lineChart>
      <c:catAx>
        <c:axId val="20988723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</a:t>
                </a:r>
                <a:r>
                  <a:rPr lang="ru-RU" sz="1100">
                    <a:latin typeface="Times New Roman" pitchFamily="18" charset="0"/>
                    <a:cs typeface="Times New Roman" pitchFamily="18" charset="0"/>
                  </a:rPr>
                  <a:t>, </a:t>
                </a: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9272611193871035"/>
              <c:y val="0.8524743497971843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88915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9889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Number of passengers, people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7.3652955542719326E-4"/>
              <c:y val="0.2502172682960084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9887232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"/>
          <c:y val="0.90036817978397865"/>
          <c:w val="1"/>
          <c:h val="9.9631820216021391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0212198051515"/>
          <c:y val="2.5742850900972308E-2"/>
          <c:w val="0.86187681342092126"/>
          <c:h val="0.77540500985763872"/>
        </c:manualLayout>
      </c:layout>
      <c:lineChart>
        <c:grouping val="standard"/>
        <c:varyColors val="0"/>
        <c:ser>
          <c:idx val="1"/>
          <c:order val="0"/>
          <c:tx>
            <c:strRef>
              <c:f>Model_1!$M$1</c:f>
              <c:strCache>
                <c:ptCount val="1"/>
                <c:pt idx="0">
                  <c:v>Hourly incom per car_1, $/ hour</c:v>
                </c:pt>
              </c:strCache>
            </c:strRef>
          </c:tx>
          <c:marker>
            <c:symbol val="none"/>
          </c:marker>
          <c:val>
            <c:numRef>
              <c:f>Contrast!$Z$2:$Z$202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148.42300556586275</c:v>
                </c:pt>
                <c:pt idx="4">
                  <c:v>142.2872208784718</c:v>
                </c:pt>
                <c:pt idx="5">
                  <c:v>137.32941121585949</c:v>
                </c:pt>
                <c:pt idx="6">
                  <c:v>133.23140551767708</c:v>
                </c:pt>
                <c:pt idx="7">
                  <c:v>129.78372662267819</c:v>
                </c:pt>
                <c:pt idx="8">
                  <c:v>126.84192520559792</c:v>
                </c:pt>
                <c:pt idx="9">
                  <c:v>124.30265943854518</c:v>
                </c:pt>
                <c:pt idx="10">
                  <c:v>122.0897448196243</c:v>
                </c:pt>
                <c:pt idx="11">
                  <c:v>120.14559826660833</c:v>
                </c:pt>
                <c:pt idx="12">
                  <c:v>118.42576836644663</c:v>
                </c:pt>
                <c:pt idx="13">
                  <c:v>116.89531474455801</c:v>
                </c:pt>
                <c:pt idx="14">
                  <c:v>115.52633931395494</c:v>
                </c:pt>
                <c:pt idx="15">
                  <c:v>114.29625932736948</c:v>
                </c:pt>
                <c:pt idx="16">
                  <c:v>113.18657208734335</c:v>
                </c:pt>
                <c:pt idx="17">
                  <c:v>112.18195382053003</c:v>
                </c:pt>
                <c:pt idx="18">
                  <c:v>111.26959076783652</c:v>
                </c:pt>
                <c:pt idx="19">
                  <c:v>110.43867485934476</c:v>
                </c:pt>
                <c:pt idx="20">
                  <c:v>109.68001811781048</c:v>
                </c:pt>
                <c:pt idx="21">
                  <c:v>108.98575408363429</c:v>
                </c:pt>
                <c:pt idx="22">
                  <c:v>108.34910394671911</c:v>
                </c:pt>
                <c:pt idx="23">
                  <c:v>107.76419142716176</c:v>
                </c:pt>
                <c:pt idx="24">
                  <c:v>107.22589482469587</c:v>
                </c:pt>
                <c:pt idx="25">
                  <c:v>106.7297277206865</c:v>
                </c:pt>
                <c:pt idx="26">
                  <c:v>106.27174199237366</c:v>
                </c:pt>
                <c:pt idx="27">
                  <c:v>105.84844836529572</c:v>
                </c:pt>
                <c:pt idx="28">
                  <c:v>105.45675087133735</c:v>
                </c:pt>
                <c:pt idx="29">
                  <c:v>105.09389242144859</c:v>
                </c:pt>
                <c:pt idx="30">
                  <c:v>104.75740932924199</c:v>
                </c:pt>
                <c:pt idx="31">
                  <c:v>104.44509309371412</c:v>
                </c:pt>
                <c:pt idx="32">
                  <c:v>104.15495810794087</c:v>
                </c:pt>
                <c:pt idx="33">
                  <c:v>103.88521423540509</c:v>
                </c:pt>
                <c:pt idx="34">
                  <c:v>103.63424340793439</c:v>
                </c:pt>
                <c:pt idx="35">
                  <c:v>103.40057956452874</c:v>
                </c:pt>
                <c:pt idx="36">
                  <c:v>103.18289137998656</c:v>
                </c:pt>
                <c:pt idx="37">
                  <c:v>102.97996733458574</c:v>
                </c:pt>
                <c:pt idx="38">
                  <c:v>102.79070275740617</c:v>
                </c:pt>
                <c:pt idx="39">
                  <c:v>102.61408854090163</c:v>
                </c:pt>
                <c:pt idx="40">
                  <c:v>102.44920127661523</c:v>
                </c:pt>
                <c:pt idx="41">
                  <c:v>102.29519460420386</c:v>
                </c:pt>
                <c:pt idx="42">
                  <c:v>102.15129160029512</c:v>
                </c:pt>
                <c:pt idx="43">
                  <c:v>102.01677806175998</c:v>
                </c:pt>
                <c:pt idx="44">
                  <c:v>101.89099656101109</c:v>
                </c:pt>
                <c:pt idx="45">
                  <c:v>101.77334116991833</c:v>
                </c:pt>
                <c:pt idx="46">
                  <c:v>101.66325276464408</c:v>
                </c:pt>
                <c:pt idx="47">
                  <c:v>101.56021483676425</c:v>
                </c:pt>
                <c:pt idx="48">
                  <c:v>101.46374974693725</c:v>
                </c:pt>
                <c:pt idx="49">
                  <c:v>101.37341536651459</c:v>
                </c:pt>
                <c:pt idx="50">
                  <c:v>101.28880206015984</c:v>
                </c:pt>
                <c:pt idx="51">
                  <c:v>101.20952996901687</c:v>
                </c:pt>
                <c:pt idx="52">
                  <c:v>101.13524655944624</c:v>
                </c:pt>
                <c:pt idx="53">
                  <c:v>101.06562440700107</c:v>
                </c:pt>
                <c:pt idx="54">
                  <c:v>101.00035918927468</c:v>
                </c:pt>
                <c:pt idx="55">
                  <c:v>100.93916786463548</c:v>
                </c:pt>
                <c:pt idx="56">
                  <c:v>100.88178701676401</c:v>
                </c:pt>
                <c:pt idx="57">
                  <c:v>100.82797134739528</c:v>
                </c:pt>
                <c:pt idx="58">
                  <c:v>100.7774923018147</c:v>
                </c:pt>
                <c:pt idx="59">
                  <c:v>100.73013681350595</c:v>
                </c:pt>
                <c:pt idx="60">
                  <c:v>100.68570615595236</c:v>
                </c:pt>
                <c:pt idx="61">
                  <c:v>100.64401489098319</c:v>
                </c:pt>
                <c:pt idx="62">
                  <c:v>100.60488990426553</c:v>
                </c:pt>
                <c:pt idx="63">
                  <c:v>100.56816951959662</c:v>
                </c:pt>
                <c:pt idx="64">
                  <c:v>100.53370268457176</c:v>
                </c:pt>
                <c:pt idx="65">
                  <c:v>100.50134822100947</c:v>
                </c:pt>
                <c:pt idx="66">
                  <c:v>100.47097413422289</c:v>
                </c:pt>
                <c:pt idx="67">
                  <c:v>100.44245697584783</c:v>
                </c:pt>
                <c:pt idx="68">
                  <c:v>100.41568125548599</c:v>
                </c:pt>
                <c:pt idx="69">
                  <c:v>100.39053889690433</c:v>
                </c:pt>
                <c:pt idx="70">
                  <c:v>100.36692873496081</c:v>
                </c:pt>
                <c:pt idx="71">
                  <c:v>100.34475604980362</c:v>
                </c:pt>
                <c:pt idx="72">
                  <c:v>100.32393213522796</c:v>
                </c:pt>
                <c:pt idx="73">
                  <c:v>100.30437389837387</c:v>
                </c:pt>
                <c:pt idx="74">
                  <c:v>100.28600348821328</c:v>
                </c:pt>
                <c:pt idx="75">
                  <c:v>100.26874795051428</c:v>
                </c:pt>
                <c:pt idx="76">
                  <c:v>100.2525389071802</c:v>
                </c:pt>
                <c:pt idx="77">
                  <c:v>100.23731225805381</c:v>
                </c:pt>
                <c:pt idx="78">
                  <c:v>100.22300790344545</c:v>
                </c:pt>
                <c:pt idx="79">
                  <c:v>100.20956948579821</c:v>
                </c:pt>
                <c:pt idx="80">
                  <c:v>100.19694414904029</c:v>
                </c:pt>
                <c:pt idx="81">
                  <c:v>100.18508231429912</c:v>
                </c:pt>
                <c:pt idx="82">
                  <c:v>100.17393747076372</c:v>
                </c:pt>
                <c:pt idx="83">
                  <c:v>100.16346598058288</c:v>
                </c:pt>
                <c:pt idx="84">
                  <c:v>100.15362689677852</c:v>
                </c:pt>
                <c:pt idx="85">
                  <c:v>100.14438179323612</c:v>
                </c:pt>
                <c:pt idx="86">
                  <c:v>100.1356946059101</c:v>
                </c:pt>
                <c:pt idx="87">
                  <c:v>100.12753148444966</c:v>
                </c:pt>
                <c:pt idx="88">
                  <c:v>100.11986065351405</c:v>
                </c:pt>
                <c:pt idx="89">
                  <c:v>100.11265228310113</c:v>
                </c:pt>
                <c:pt idx="90">
                  <c:v>100.10587836726715</c:v>
                </c:pt>
                <c:pt idx="91">
                  <c:v>100.0995126106609</c:v>
                </c:pt>
                <c:pt idx="92">
                  <c:v>100.09353032234026</c:v>
                </c:pt>
                <c:pt idx="93">
                  <c:v>100.08790831637715</c:v>
                </c:pt>
                <c:pt idx="94">
                  <c:v>100.08262481879495</c:v>
                </c:pt>
                <c:pt idx="95">
                  <c:v>100.07765938041449</c:v>
                </c:pt>
                <c:pt idx="96">
                  <c:v>100.07299279521553</c:v>
                </c:pt>
                <c:pt idx="97">
                  <c:v>100.06860702384944</c:v>
                </c:pt>
                <c:pt idx="98">
                  <c:v>100.06448512196371</c:v>
                </c:pt>
                <c:pt idx="99">
                  <c:v>100.06061117302372</c:v>
                </c:pt>
                <c:pt idx="100">
                  <c:v>100.05697022533865</c:v>
                </c:pt>
                <c:pt idx="101">
                  <c:v>100.05354823301866</c:v>
                </c:pt>
                <c:pt idx="102">
                  <c:v>100.05033200060984</c:v>
                </c:pt>
                <c:pt idx="103">
                  <c:v>100.04730913117005</c:v>
                </c:pt>
                <c:pt idx="104">
                  <c:v>100.04446797756555</c:v>
                </c:pt>
                <c:pt idx="105">
                  <c:v>100.04179759678232</c:v>
                </c:pt>
                <c:pt idx="106">
                  <c:v>100.03928770706105</c:v>
                </c:pt>
                <c:pt idx="107">
                  <c:v>100.03692864767589</c:v>
                </c:pt>
                <c:pt idx="108">
                  <c:v>100.03471134119057</c:v>
                </c:pt>
                <c:pt idx="109">
                  <c:v>100.0326272580354</c:v>
                </c:pt>
                <c:pt idx="110">
                  <c:v>100.03066838325947</c:v>
                </c:pt>
                <c:pt idx="111">
                  <c:v>100.02882718532148</c:v>
                </c:pt>
                <c:pt idx="112">
                  <c:v>100.02709658679211</c:v>
                </c:pt>
                <c:pt idx="113">
                  <c:v>100.02546993684838</c:v>
                </c:pt>
                <c:pt idx="114">
                  <c:v>100.02394098544845</c:v>
                </c:pt>
                <c:pt idx="115">
                  <c:v>100.02250385908295</c:v>
                </c:pt>
                <c:pt idx="116">
                  <c:v>100.02115303800447</c:v>
                </c:pt>
                <c:pt idx="117">
                  <c:v>100.01988333484445</c:v>
                </c:pt>
                <c:pt idx="118">
                  <c:v>100.01868987453105</c:v>
                </c:pt>
                <c:pt idx="119">
                  <c:v>100.01756807542841</c:v>
                </c:pt>
                <c:pt idx="120">
                  <c:v>100.01651363162213</c:v>
                </c:pt>
                <c:pt idx="121">
                  <c:v>100.01552249627971</c:v>
                </c:pt>
                <c:pt idx="122">
                  <c:v>100.01459086602111</c:v>
                </c:pt>
                <c:pt idx="123">
                  <c:v>100.01371516623661</c:v>
                </c:pt>
                <c:pt idx="124">
                  <c:v>100.01289203729453</c:v>
                </c:pt>
                <c:pt idx="125">
                  <c:v>100.01211832158408</c:v>
                </c:pt>
                <c:pt idx="126">
                  <c:v>100.01139105134254</c:v>
                </c:pt>
                <c:pt idx="127">
                  <c:v>100.01070743721861</c:v>
                </c:pt>
                <c:pt idx="128">
                  <c:v>100.01006485752775</c:v>
                </c:pt>
                <c:pt idx="129">
                  <c:v>100.00946084815627</c:v>
                </c:pt>
                <c:pt idx="130">
                  <c:v>100.00889309307581</c:v>
                </c:pt>
                <c:pt idx="131">
                  <c:v>100.00835941543038</c:v>
                </c:pt>
                <c:pt idx="132">
                  <c:v>100.00785776916155</c:v>
                </c:pt>
                <c:pt idx="133">
                  <c:v>100.00738623113882</c:v>
                </c:pt>
                <c:pt idx="134">
                  <c:v>100.00694299376488</c:v>
                </c:pt>
                <c:pt idx="135">
                  <c:v>100.00652635802649</c:v>
                </c:pt>
                <c:pt idx="136">
                  <c:v>100.00613472696487</c:v>
                </c:pt>
                <c:pt idx="137">
                  <c:v>100.00576659953886</c:v>
                </c:pt>
                <c:pt idx="138">
                  <c:v>100.0054205648583</c:v>
                </c:pt>
                <c:pt idx="139">
                  <c:v>100.00509529676478</c:v>
                </c:pt>
                <c:pt idx="140">
                  <c:v>100.00478954873842</c:v>
                </c:pt>
                <c:pt idx="141">
                  <c:v>100.00450214911166</c:v>
                </c:pt>
                <c:pt idx="142">
                  <c:v>100.00423199657098</c:v>
                </c:pt>
                <c:pt idx="143">
                  <c:v>100.00397805592934</c:v>
                </c:pt>
                <c:pt idx="144">
                  <c:v>100.00373935415305</c:v>
                </c:pt>
                <c:pt idx="145">
                  <c:v>100.00351497662766</c:v>
                </c:pt>
                <c:pt idx="146">
                  <c:v>100.0033040636485</c:v>
                </c:pt>
                <c:pt idx="147">
                  <c:v>100.00310580712221</c:v>
                </c:pt>
                <c:pt idx="148">
                  <c:v>100.00291944746677</c:v>
                </c:pt>
                <c:pt idx="149">
                  <c:v>100.00274427069763</c:v>
                </c:pt>
                <c:pt idx="150">
                  <c:v>100.00257960568955</c:v>
                </c:pt>
                <c:pt idx="151">
                  <c:v>100.00242482160242</c:v>
                </c:pt>
                <c:pt idx="152">
                  <c:v>100.00227932546218</c:v>
                </c:pt>
                <c:pt idx="153">
                  <c:v>100.00214255988702</c:v>
                </c:pt>
                <c:pt idx="154">
                  <c:v>100.00201400095035</c:v>
                </c:pt>
                <c:pt idx="155">
                  <c:v>100.00189315617185</c:v>
                </c:pt>
                <c:pt idx="156">
                  <c:v>100.00177956262968</c:v>
                </c:pt>
                <c:pt idx="157">
                  <c:v>100.00167278518566</c:v>
                </c:pt>
                <c:pt idx="158">
                  <c:v>100.00157241481737</c:v>
                </c:pt>
                <c:pt idx="159">
                  <c:v>100.00147806705036</c:v>
                </c:pt>
                <c:pt idx="160">
                  <c:v>100.00138938048433</c:v>
                </c:pt>
                <c:pt idx="161">
                  <c:v>100.00130601540832</c:v>
                </c:pt>
                <c:pt idx="162">
                  <c:v>100.0012276524984</c:v>
                </c:pt>
                <c:pt idx="163">
                  <c:v>100.00115399159415</c:v>
                </c:pt>
                <c:pt idx="164">
                  <c:v>100.00108475054844</c:v>
                </c:pt>
                <c:pt idx="165">
                  <c:v>100.00101966414584</c:v>
                </c:pt>
                <c:pt idx="166">
                  <c:v>100.00095848308686</c:v>
                </c:pt>
                <c:pt idx="167">
                  <c:v>100.00090097303229</c:v>
                </c:pt>
                <c:pt idx="168">
                  <c:v>100.00084691370546</c:v>
                </c:pt>
                <c:pt idx="169">
                  <c:v>100.00079609804824</c:v>
                </c:pt>
                <c:pt idx="170">
                  <c:v>100.00074833142763</c:v>
                </c:pt>
                <c:pt idx="171">
                  <c:v>100.00070343089014</c:v>
                </c:pt>
                <c:pt idx="172">
                  <c:v>100.00066122446076</c:v>
                </c:pt>
                <c:pt idx="173">
                  <c:v>100.0006215504842</c:v>
                </c:pt>
                <c:pt idx="174">
                  <c:v>100.00058425700547</c:v>
                </c:pt>
                <c:pt idx="175">
                  <c:v>100.00054920118782</c:v>
                </c:pt>
                <c:pt idx="176">
                  <c:v>100.00051624876544</c:v>
                </c:pt>
                <c:pt idx="177">
                  <c:v>100.00048527352929</c:v>
                </c:pt>
                <c:pt idx="178">
                  <c:v>100.00045615684341</c:v>
                </c:pt>
                <c:pt idx="179">
                  <c:v>100.00042878719061</c:v>
                </c:pt>
                <c:pt idx="180">
                  <c:v>100.00040305974517</c:v>
                </c:pt>
                <c:pt idx="181">
                  <c:v>100.00037887597138</c:v>
                </c:pt>
                <c:pt idx="182">
                  <c:v>100.00035614324601</c:v>
                </c:pt>
                <c:pt idx="183">
                  <c:v>100.00033477450359</c:v>
                </c:pt>
                <c:pt idx="184">
                  <c:v>100.00031468790291</c:v>
                </c:pt>
                <c:pt idx="185">
                  <c:v>100.00029580651346</c:v>
                </c:pt>
                <c:pt idx="186">
                  <c:v>100.00027805802084</c:v>
                </c:pt>
                <c:pt idx="187">
                  <c:v>100.00026137444958</c:v>
                </c:pt>
                <c:pt idx="188">
                  <c:v>100.00024569190307</c:v>
                </c:pt>
                <c:pt idx="189">
                  <c:v>100.00023095031862</c:v>
                </c:pt>
                <c:pt idx="190">
                  <c:v>100.00021709323741</c:v>
                </c:pt>
                <c:pt idx="191">
                  <c:v>100.00020406758834</c:v>
                </c:pt>
                <c:pt idx="192">
                  <c:v>100.00019182348457</c:v>
                </c:pt>
                <c:pt idx="193">
                  <c:v>100.00018031403266</c:v>
                </c:pt>
                <c:pt idx="194">
                  <c:v>100.00016949515283</c:v>
                </c:pt>
                <c:pt idx="195">
                  <c:v>100.00015932541022</c:v>
                </c:pt>
                <c:pt idx="196">
                  <c:v>100.00014976585607</c:v>
                </c:pt>
                <c:pt idx="197">
                  <c:v>100.00014077987859</c:v>
                </c:pt>
                <c:pt idx="198">
                  <c:v>100.00013233306281</c:v>
                </c:pt>
                <c:pt idx="199">
                  <c:v>100.00012439305866</c:v>
                </c:pt>
                <c:pt idx="200">
                  <c:v>100.00011692945712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Model_2!$M$1</c:f>
              <c:strCache>
                <c:ptCount val="1"/>
                <c:pt idx="0">
                  <c:v>Hourly incom per car_2, $/ hour</c:v>
                </c:pt>
              </c:strCache>
            </c:strRef>
          </c:tx>
          <c:marker>
            <c:symbol val="none"/>
          </c:marker>
          <c:cat>
            <c:numRef>
              <c:f>Model_2!$F$2:$F$202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Contrast!$AA$2:$AA$202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237.47680890538032</c:v>
                </c:pt>
                <c:pt idx="4">
                  <c:v>124.11140322447874</c:v>
                </c:pt>
                <c:pt idx="5">
                  <c:v>121.92228847068482</c:v>
                </c:pt>
                <c:pt idx="6">
                  <c:v>191.99663201821369</c:v>
                </c:pt>
                <c:pt idx="7">
                  <c:v>43.399730081473507</c:v>
                </c:pt>
                <c:pt idx="8">
                  <c:v>111.01266390013265</c:v>
                </c:pt>
                <c:pt idx="9">
                  <c:v>176.32685697083622</c:v>
                </c:pt>
                <c:pt idx="10">
                  <c:v>101.97011247685045</c:v>
                </c:pt>
                <c:pt idx="11">
                  <c:v>101.84735020851892</c:v>
                </c:pt>
                <c:pt idx="12">
                  <c:v>162.77200923556569</c:v>
                </c:pt>
                <c:pt idx="13">
                  <c:v>95.856036464670851</c:v>
                </c:pt>
                <c:pt idx="14">
                  <c:v>38.406075937155798</c:v>
                </c:pt>
                <c:pt idx="15">
                  <c:v>157.50484021573456</c:v>
                </c:pt>
                <c:pt idx="16">
                  <c:v>93.366632745034678</c:v>
                </c:pt>
                <c:pt idx="17">
                  <c:v>93.61502588394319</c:v>
                </c:pt>
                <c:pt idx="18">
                  <c:v>150.16756782776972</c:v>
                </c:pt>
                <c:pt idx="19">
                  <c:v>89.795845445345861</c:v>
                </c:pt>
                <c:pt idx="20">
                  <c:v>90.16386384611809</c:v>
                </c:pt>
                <c:pt idx="21">
                  <c:v>144.83201712976083</c:v>
                </c:pt>
                <c:pt idx="22">
                  <c:v>87.125709059623389</c:v>
                </c:pt>
                <c:pt idx="23">
                  <c:v>87.576704247656849</c:v>
                </c:pt>
                <c:pt idx="24">
                  <c:v>140.82251871568891</c:v>
                </c:pt>
                <c:pt idx="25">
                  <c:v>85.079480474627573</c:v>
                </c:pt>
                <c:pt idx="26">
                  <c:v>85.590301178594672</c:v>
                </c:pt>
                <c:pt idx="27">
                  <c:v>137.73838936852985</c:v>
                </c:pt>
                <c:pt idx="28">
                  <c:v>33.393127479545647</c:v>
                </c:pt>
                <c:pt idx="29">
                  <c:v>85.767911641689565</c:v>
                </c:pt>
                <c:pt idx="30">
                  <c:v>138.01435160540856</c:v>
                </c:pt>
                <c:pt idx="31">
                  <c:v>83.626478739008476</c:v>
                </c:pt>
                <c:pt idx="32">
                  <c:v>84.177793495609947</c:v>
                </c:pt>
                <c:pt idx="33">
                  <c:v>135.54230090296267</c:v>
                </c:pt>
                <c:pt idx="34">
                  <c:v>82.334078806103378</c:v>
                </c:pt>
                <c:pt idx="35">
                  <c:v>33.168008894960082</c:v>
                </c:pt>
                <c:pt idx="36">
                  <c:v>136.31614740004559</c:v>
                </c:pt>
                <c:pt idx="37">
                  <c:v>82.739977831692585</c:v>
                </c:pt>
                <c:pt idx="38">
                  <c:v>83.315186618892085</c:v>
                </c:pt>
                <c:pt idx="39">
                  <c:v>134.19993896518338</c:v>
                </c:pt>
                <c:pt idx="40">
                  <c:v>81.627131986836247</c:v>
                </c:pt>
                <c:pt idx="41">
                  <c:v>82.231463114166615</c:v>
                </c:pt>
                <c:pt idx="42">
                  <c:v>132.51215986280408</c:v>
                </c:pt>
                <c:pt idx="43">
                  <c:v>80.733184305728471</c:v>
                </c:pt>
                <c:pt idx="44">
                  <c:v>81.36020513661461</c:v>
                </c:pt>
                <c:pt idx="45">
                  <c:v>131.15420319579957</c:v>
                </c:pt>
                <c:pt idx="46">
                  <c:v>80.00985318223573</c:v>
                </c:pt>
                <c:pt idx="47">
                  <c:v>80.654773487664499</c:v>
                </c:pt>
                <c:pt idx="48">
                  <c:v>130.05400727206924</c:v>
                </c:pt>
                <c:pt idx="49">
                  <c:v>31.768471919758124</c:v>
                </c:pt>
                <c:pt idx="50">
                  <c:v>81.649610886574564</c:v>
                </c:pt>
                <c:pt idx="51">
                  <c:v>131.60538140177664</c:v>
                </c:pt>
                <c:pt idx="52">
                  <c:v>80.250579387744338</c:v>
                </c:pt>
                <c:pt idx="53">
                  <c:v>80.889588389446502</c:v>
                </c:pt>
                <c:pt idx="54">
                  <c:v>130.42029563590327</c:v>
                </c:pt>
                <c:pt idx="55">
                  <c:v>79.617428222945492</c:v>
                </c:pt>
                <c:pt idx="56">
                  <c:v>32.108754889662357</c:v>
                </c:pt>
                <c:pt idx="57">
                  <c:v>132.0202265836547</c:v>
                </c:pt>
                <c:pt idx="58">
                  <c:v>80.471568366305121</c:v>
                </c:pt>
                <c:pt idx="59">
                  <c:v>81.105110609376524</c:v>
                </c:pt>
                <c:pt idx="60">
                  <c:v>130.75642827474815</c:v>
                </c:pt>
                <c:pt idx="61">
                  <c:v>79.797290628925253</c:v>
                </c:pt>
                <c:pt idx="62">
                  <c:v>80.447392747057052</c:v>
                </c:pt>
                <c:pt idx="63">
                  <c:v>129.73045585613136</c:v>
                </c:pt>
                <c:pt idx="64">
                  <c:v>79.247612531564144</c:v>
                </c:pt>
                <c:pt idx="65">
                  <c:v>79.910949728256739</c:v>
                </c:pt>
                <c:pt idx="66">
                  <c:v>128.89325681152093</c:v>
                </c:pt>
                <c:pt idx="67">
                  <c:v>78.797563730567163</c:v>
                </c:pt>
                <c:pt idx="68">
                  <c:v>79.471560005063068</c:v>
                </c:pt>
                <c:pt idx="69">
                  <c:v>128.20725397616707</c:v>
                </c:pt>
                <c:pt idx="70">
                  <c:v>31.37111527217904</c:v>
                </c:pt>
                <c:pt idx="71">
                  <c:v>80.641523303270006</c:v>
                </c:pt>
                <c:pt idx="72">
                  <c:v>130.03333620875006</c:v>
                </c:pt>
                <c:pt idx="73">
                  <c:v>79.410096989124028</c:v>
                </c:pt>
                <c:pt idx="74">
                  <c:v>80.069546669140991</c:v>
                </c:pt>
                <c:pt idx="75">
                  <c:v>129.14080861430435</c:v>
                </c:pt>
                <c:pt idx="76">
                  <c:v>78.930779518338909</c:v>
                </c:pt>
                <c:pt idx="77">
                  <c:v>31.840654918841789</c:v>
                </c:pt>
                <c:pt idx="78">
                  <c:v>130.93232426408468</c:v>
                </c:pt>
                <c:pt idx="79">
                  <c:v>79.891323790570922</c:v>
                </c:pt>
                <c:pt idx="80">
                  <c:v>80.539137969617954</c:v>
                </c:pt>
                <c:pt idx="81">
                  <c:v>129.87360164861775</c:v>
                </c:pt>
                <c:pt idx="82">
                  <c:v>79.324427246590218</c:v>
                </c:pt>
                <c:pt idx="83">
                  <c:v>79.985929206009388</c:v>
                </c:pt>
                <c:pt idx="84">
                  <c:v>129.01029520214678</c:v>
                </c:pt>
                <c:pt idx="85">
                  <c:v>78.860560639700168</c:v>
                </c:pt>
                <c:pt idx="86">
                  <c:v>79.533074481758305</c:v>
                </c:pt>
                <c:pt idx="87">
                  <c:v>128.30330887742858</c:v>
                </c:pt>
                <c:pt idx="88">
                  <c:v>78.479618868319292</c:v>
                </c:pt>
                <c:pt idx="89">
                  <c:v>79.161049248564439</c:v>
                </c:pt>
                <c:pt idx="90">
                  <c:v>127.72231843922881</c:v>
                </c:pt>
                <c:pt idx="91">
                  <c:v>31.266340197696913</c:v>
                </c:pt>
                <c:pt idx="92">
                  <c:v>80.375655683908207</c:v>
                </c:pt>
                <c:pt idx="93">
                  <c:v>129.61852048454557</c:v>
                </c:pt>
                <c:pt idx="94">
                  <c:v>79.187518310494283</c:v>
                </c:pt>
                <c:pt idx="95">
                  <c:v>79.852288023435463</c:v>
                </c:pt>
                <c:pt idx="96">
                  <c:v>128.80168453433433</c:v>
                </c:pt>
                <c:pt idx="97">
                  <c:v>78.748255814569973</c:v>
                </c:pt>
                <c:pt idx="98">
                  <c:v>31.769364085217116</c:v>
                </c:pt>
                <c:pt idx="99">
                  <c:v>130.6429982810813</c:v>
                </c:pt>
                <c:pt idx="100">
                  <c:v>79.736619538449645</c:v>
                </c:pt>
                <c:pt idx="101">
                  <c:v>80.388194163631482</c:v>
                </c:pt>
                <c:pt idx="102">
                  <c:v>129.63808544611751</c:v>
                </c:pt>
                <c:pt idx="103">
                  <c:v>79.198023806349056</c:v>
                </c:pt>
                <c:pt idx="104">
                  <c:v>79.862543296113117</c:v>
                </c:pt>
                <c:pt idx="105">
                  <c:v>128.81769356452105</c:v>
                </c:pt>
                <c:pt idx="106">
                  <c:v>78.756877182869474</c:v>
                </c:pt>
                <c:pt idx="107">
                  <c:v>79.431829224390711</c:v>
                </c:pt>
                <c:pt idx="108">
                  <c:v>128.14521179916991</c:v>
                </c:pt>
                <c:pt idx="109">
                  <c:v>78.39430118763066</c:v>
                </c:pt>
                <c:pt idx="110">
                  <c:v>79.077712886590135</c:v>
                </c:pt>
                <c:pt idx="111">
                  <c:v>127.59214844380749</c:v>
                </c:pt>
                <c:pt idx="112">
                  <c:v>31.238185147744375</c:v>
                </c:pt>
                <c:pt idx="113">
                  <c:v>80.304208105195514</c:v>
                </c:pt>
                <c:pt idx="114">
                  <c:v>129.50703037599268</c:v>
                </c:pt>
                <c:pt idx="115">
                  <c:v>79.127639075080509</c:v>
                </c:pt>
                <c:pt idx="116">
                  <c:v>79.793833350792752</c:v>
                </c:pt>
                <c:pt idx="117">
                  <c:v>128.71043112962704</c:v>
                </c:pt>
                <c:pt idx="118">
                  <c:v>78.699103575945216</c:v>
                </c:pt>
                <c:pt idx="119">
                  <c:v>31.750164214126826</c:v>
                </c:pt>
                <c:pt idx="120">
                  <c:v>130.56507482292113</c:v>
                </c:pt>
                <c:pt idx="121">
                  <c:v>79.694925569769666</c:v>
                </c:pt>
                <c:pt idx="122">
                  <c:v>80.347510441690545</c:v>
                </c:pt>
                <c:pt idx="123">
                  <c:v>129.57460211272183</c:v>
                </c:pt>
                <c:pt idx="124">
                  <c:v>79.16393344641088</c:v>
                </c:pt>
                <c:pt idx="125">
                  <c:v>79.829264594416216</c:v>
                </c:pt>
                <c:pt idx="126">
                  <c:v>128.76574324559002</c:v>
                </c:pt>
                <c:pt idx="127">
                  <c:v>78.728898502513829</c:v>
                </c:pt>
                <c:pt idx="128">
                  <c:v>79.404507033904224</c:v>
                </c:pt>
                <c:pt idx="129">
                  <c:v>128.10254528236754</c:v>
                </c:pt>
                <c:pt idx="130">
                  <c:v>78.371267851752108</c:v>
                </c:pt>
                <c:pt idx="131">
                  <c:v>79.055213466548309</c:v>
                </c:pt>
                <c:pt idx="132">
                  <c:v>127.55700322785903</c:v>
                </c:pt>
                <c:pt idx="133">
                  <c:v>31.230581218833866</c:v>
                </c:pt>
                <c:pt idx="134">
                  <c:v>80.28491173381741</c:v>
                </c:pt>
                <c:pt idx="135">
                  <c:v>129.47691832337935</c:v>
                </c:pt>
                <c:pt idx="136">
                  <c:v>79.111462343159062</c:v>
                </c:pt>
                <c:pt idx="137">
                  <c:v>79.778040988510043</c:v>
                </c:pt>
                <c:pt idx="138">
                  <c:v>128.68577698463409</c:v>
                </c:pt>
                <c:pt idx="139">
                  <c:v>78.685821258078278</c:v>
                </c:pt>
                <c:pt idx="140">
                  <c:v>31.744975738046797</c:v>
                </c:pt>
                <c:pt idx="141">
                  <c:v>130.54401697041456</c:v>
                </c:pt>
                <c:pt idx="142">
                  <c:v>79.683656262737571</c:v>
                </c:pt>
                <c:pt idx="143">
                  <c:v>80.336513955607771</c:v>
                </c:pt>
                <c:pt idx="144">
                  <c:v>129.55744271568724</c:v>
                </c:pt>
                <c:pt idx="145">
                  <c:v>79.154717565240972</c:v>
                </c:pt>
                <c:pt idx="146">
                  <c:v>79.820267977242466</c:v>
                </c:pt>
                <c:pt idx="147">
                  <c:v>128.75169867427664</c:v>
                </c:pt>
                <c:pt idx="148">
                  <c:v>78.721333682603145</c:v>
                </c:pt>
                <c:pt idx="149">
                  <c:v>79.397119608487714</c:v>
                </c:pt>
                <c:pt idx="150">
                  <c:v>128.09100886755087</c:v>
                </c:pt>
                <c:pt idx="151">
                  <c:v>78.365039370173477</c:v>
                </c:pt>
                <c:pt idx="152">
                  <c:v>79.049129290179508</c:v>
                </c:pt>
                <c:pt idx="153">
                  <c:v>127.54749933142868</c:v>
                </c:pt>
                <c:pt idx="154">
                  <c:v>31.228524818575277</c:v>
                </c:pt>
                <c:pt idx="155">
                  <c:v>80.27969321833298</c:v>
                </c:pt>
                <c:pt idx="156">
                  <c:v>129.46877473187641</c:v>
                </c:pt>
                <c:pt idx="157">
                  <c:v>79.10708715986982</c:v>
                </c:pt>
                <c:pt idx="158">
                  <c:v>79.773769727003796</c:v>
                </c:pt>
                <c:pt idx="159">
                  <c:v>128.67910887820386</c:v>
                </c:pt>
                <c:pt idx="160">
                  <c:v>78.68222864310161</c:v>
                </c:pt>
                <c:pt idx="161">
                  <c:v>31.743572344154181</c:v>
                </c:pt>
                <c:pt idx="162">
                  <c:v>130.5383211666269</c:v>
                </c:pt>
                <c:pt idx="163">
                  <c:v>79.680607951845118</c:v>
                </c:pt>
                <c:pt idx="164">
                  <c:v>80.333539424719831</c:v>
                </c:pt>
                <c:pt idx="165">
                  <c:v>129.55280110166493</c:v>
                </c:pt>
                <c:pt idx="166">
                  <c:v>79.15222457322524</c:v>
                </c:pt>
                <c:pt idx="167">
                  <c:v>79.817834286931415</c:v>
                </c:pt>
                <c:pt idx="168">
                  <c:v>128.7478994357389</c:v>
                </c:pt>
                <c:pt idx="169">
                  <c:v>78.719287235703092</c:v>
                </c:pt>
                <c:pt idx="170">
                  <c:v>79.395121142874331</c:v>
                </c:pt>
                <c:pt idx="171">
                  <c:v>128.08788799467709</c:v>
                </c:pt>
                <c:pt idx="172">
                  <c:v>78.363354374985747</c:v>
                </c:pt>
                <c:pt idx="173">
                  <c:v>79.04748332871884</c:v>
                </c:pt>
                <c:pt idx="174">
                  <c:v>127.54492821989602</c:v>
                </c:pt>
                <c:pt idx="175">
                  <c:v>31.227968483940259</c:v>
                </c:pt>
                <c:pt idx="176">
                  <c:v>80.27828140951064</c:v>
                </c:pt>
                <c:pt idx="177">
                  <c:v>129.46657157178271</c:v>
                </c:pt>
                <c:pt idx="178">
                  <c:v>79.105903479629148</c:v>
                </c:pt>
                <c:pt idx="179">
                  <c:v>79.772614159602384</c:v>
                </c:pt>
                <c:pt idx="180">
                  <c:v>128.67730485302965</c:v>
                </c:pt>
                <c:pt idx="181">
                  <c:v>78.681256663167062</c:v>
                </c:pt>
                <c:pt idx="182">
                  <c:v>31.743192656037106</c:v>
                </c:pt>
                <c:pt idx="183">
                  <c:v>130.53678016619037</c:v>
                </c:pt>
                <c:pt idx="184">
                  <c:v>79.679783220106302</c:v>
                </c:pt>
                <c:pt idx="185">
                  <c:v>80.33273465317599</c:v>
                </c:pt>
                <c:pt idx="186">
                  <c:v>129.55154529202127</c:v>
                </c:pt>
                <c:pt idx="187">
                  <c:v>79.151550075822172</c:v>
                </c:pt>
                <c:pt idx="188">
                  <c:v>79.817175833201304</c:v>
                </c:pt>
                <c:pt idx="189">
                  <c:v>128.74687152109635</c:v>
                </c:pt>
                <c:pt idx="190">
                  <c:v>78.718733548217941</c:v>
                </c:pt>
                <c:pt idx="191">
                  <c:v>79.394580436657918</c:v>
                </c:pt>
                <c:pt idx="192">
                  <c:v>128.08704360832371</c:v>
                </c:pt>
                <c:pt idx="193">
                  <c:v>78.362898477875007</c:v>
                </c:pt>
                <c:pt idx="194">
                  <c:v>79.047037992300076</c:v>
                </c:pt>
                <c:pt idx="195">
                  <c:v>127.54423257142824</c:v>
                </c:pt>
                <c:pt idx="196">
                  <c:v>31.227817959330235</c:v>
                </c:pt>
                <c:pt idx="197">
                  <c:v>80.277899423524474</c:v>
                </c:pt>
                <c:pt idx="198">
                  <c:v>129.46597547344672</c:v>
                </c:pt>
                <c:pt idx="199">
                  <c:v>79.105583215400031</c:v>
                </c:pt>
                <c:pt idx="200">
                  <c:v>79.772301501576308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Model_3!$M$1</c:f>
              <c:strCache>
                <c:ptCount val="1"/>
                <c:pt idx="0">
                  <c:v>Hourly incom per car_3, $/ hour</c:v>
                </c:pt>
              </c:strCache>
            </c:strRef>
          </c:tx>
          <c:marker>
            <c:symbol val="none"/>
          </c:marker>
          <c:val>
            <c:numRef>
              <c:f>Contrast!$AB$2:$AB$202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166.66666666666669</c:v>
                </c:pt>
                <c:pt idx="3">
                  <c:v>266.66666666666663</c:v>
                </c:pt>
                <c:pt idx="4">
                  <c:v>166.66666666666669</c:v>
                </c:pt>
                <c:pt idx="5">
                  <c:v>166.66666666666669</c:v>
                </c:pt>
                <c:pt idx="6">
                  <c:v>266.66666666666663</c:v>
                </c:pt>
                <c:pt idx="7">
                  <c:v>60.240963855421683</c:v>
                </c:pt>
                <c:pt idx="8">
                  <c:v>149.37858508604205</c:v>
                </c:pt>
                <c:pt idx="9">
                  <c:v>207.94343938448736</c:v>
                </c:pt>
                <c:pt idx="10">
                  <c:v>119.98464196582836</c:v>
                </c:pt>
                <c:pt idx="11">
                  <c:v>114.48983330280269</c:v>
                </c:pt>
                <c:pt idx="12">
                  <c:v>164.3655489809336</c:v>
                </c:pt>
                <c:pt idx="13">
                  <c:v>102.72846811308349</c:v>
                </c:pt>
                <c:pt idx="14">
                  <c:v>39.877689103928496</c:v>
                </c:pt>
                <c:pt idx="15">
                  <c:v>159.22760433288045</c:v>
                </c:pt>
                <c:pt idx="16">
                  <c:v>97.652802899063758</c:v>
                </c:pt>
                <c:pt idx="17">
                  <c:v>96.920956808120565</c:v>
                </c:pt>
                <c:pt idx="18">
                  <c:v>149.65618555479983</c:v>
                </c:pt>
                <c:pt idx="19">
                  <c:v>93.306515681883667</c:v>
                </c:pt>
                <c:pt idx="20">
                  <c:v>93.557004619191048</c:v>
                </c:pt>
                <c:pt idx="21">
                  <c:v>145.2368307738891</c:v>
                </c:pt>
                <c:pt idx="22">
                  <c:v>90.773019233680685</c:v>
                </c:pt>
                <c:pt idx="23">
                  <c:v>91.109284680633209</c:v>
                </c:pt>
                <c:pt idx="24">
                  <c:v>142.41548063975321</c:v>
                </c:pt>
                <c:pt idx="25">
                  <c:v>89.009675399845761</c:v>
                </c:pt>
                <c:pt idx="26">
                  <c:v>89.402701282736928</c:v>
                </c:pt>
                <c:pt idx="27">
                  <c:v>140.23583995944796</c:v>
                </c:pt>
                <c:pt idx="28">
                  <c:v>35.058959989861989</c:v>
                </c:pt>
                <c:pt idx="29">
                  <c:v>89.984884775664639</c:v>
                </c:pt>
                <c:pt idx="30">
                  <c:v>141.30591571657479</c:v>
                </c:pt>
                <c:pt idx="31">
                  <c:v>88.316197322859239</c:v>
                </c:pt>
                <c:pt idx="32">
                  <c:v>88.730882974074248</c:v>
                </c:pt>
                <c:pt idx="33">
                  <c:v>139.60817463120966</c:v>
                </c:pt>
                <c:pt idx="34">
                  <c:v>87.255109144506051</c:v>
                </c:pt>
                <c:pt idx="35">
                  <c:v>35.080884475303193</c:v>
                </c:pt>
                <c:pt idx="36">
                  <c:v>142.79000068261573</c:v>
                </c:pt>
                <c:pt idx="37">
                  <c:v>89.243750426634833</c:v>
                </c:pt>
                <c:pt idx="38">
                  <c:v>89.629380822327292</c:v>
                </c:pt>
                <c:pt idx="39">
                  <c:v>140.98875755096222</c:v>
                </c:pt>
                <c:pt idx="40">
                  <c:v>88.117973469351384</c:v>
                </c:pt>
                <c:pt idx="41">
                  <c:v>88.538781529802762</c:v>
                </c:pt>
                <c:pt idx="42">
                  <c:v>139.13713446949984</c:v>
                </c:pt>
                <c:pt idx="43">
                  <c:v>86.960709043437419</c:v>
                </c:pt>
                <c:pt idx="44">
                  <c:v>87.416649494319117</c:v>
                </c:pt>
                <c:pt idx="45">
                  <c:v>137.6010030494304</c:v>
                </c:pt>
                <c:pt idx="46">
                  <c:v>86.000626905893995</c:v>
                </c:pt>
                <c:pt idx="47">
                  <c:v>86.484920775071771</c:v>
                </c:pt>
                <c:pt idx="48">
                  <c:v>136.34399322570292</c:v>
                </c:pt>
                <c:pt idx="49">
                  <c:v>34.085998306425729</c:v>
                </c:pt>
                <c:pt idx="50">
                  <c:v>87.522581192031339</c:v>
                </c:pt>
                <c:pt idx="51">
                  <c:v>137.99998789858151</c:v>
                </c:pt>
                <c:pt idx="52">
                  <c:v>86.249992436613439</c:v>
                </c:pt>
                <c:pt idx="53">
                  <c:v>86.726991150320103</c:v>
                </c:pt>
                <c:pt idx="54">
                  <c:v>136.90094588450717</c:v>
                </c:pt>
                <c:pt idx="55">
                  <c:v>85.563091177816958</c:v>
                </c:pt>
                <c:pt idx="56">
                  <c:v>34.42402708726727</c:v>
                </c:pt>
                <c:pt idx="57">
                  <c:v>140.27459577840727</c:v>
                </c:pt>
                <c:pt idx="58">
                  <c:v>87.671622361504546</c:v>
                </c:pt>
                <c:pt idx="59">
                  <c:v>88.106104492882537</c:v>
                </c:pt>
                <c:pt idx="60">
                  <c:v>138.92073724795483</c:v>
                </c:pt>
                <c:pt idx="61">
                  <c:v>86.825460779971777</c:v>
                </c:pt>
                <c:pt idx="62">
                  <c:v>87.285438955514493</c:v>
                </c:pt>
                <c:pt idx="63">
                  <c:v>137.45650610950116</c:v>
                </c:pt>
                <c:pt idx="64">
                  <c:v>85.91031631843822</c:v>
                </c:pt>
                <c:pt idx="65">
                  <c:v>86.397240232774124</c:v>
                </c:pt>
                <c:pt idx="66">
                  <c:v>136.22829292449507</c:v>
                </c:pt>
                <c:pt idx="67">
                  <c:v>85.142683077809423</c:v>
                </c:pt>
                <c:pt idx="68">
                  <c:v>85.651704887585751</c:v>
                </c:pt>
                <c:pt idx="69">
                  <c:v>135.21596505418387</c:v>
                </c:pt>
                <c:pt idx="70">
                  <c:v>33.803991263545967</c:v>
                </c:pt>
                <c:pt idx="71">
                  <c:v>86.808529427826144</c:v>
                </c:pt>
                <c:pt idx="72">
                  <c:v>137.03099021087758</c:v>
                </c:pt>
                <c:pt idx="73">
                  <c:v>85.644368881798499</c:v>
                </c:pt>
                <c:pt idx="74">
                  <c:v>86.139000769775038</c:v>
                </c:pt>
                <c:pt idx="75">
                  <c:v>136.09986572694052</c:v>
                </c:pt>
                <c:pt idx="76">
                  <c:v>85.062416079337837</c:v>
                </c:pt>
                <c:pt idx="77">
                  <c:v>34.229488776197456</c:v>
                </c:pt>
                <c:pt idx="78">
                  <c:v>139.52752348997834</c:v>
                </c:pt>
                <c:pt idx="79">
                  <c:v>87.204702181236442</c:v>
                </c:pt>
                <c:pt idx="80">
                  <c:v>87.653322326826782</c:v>
                </c:pt>
                <c:pt idx="81">
                  <c:v>138.30258376417311</c:v>
                </c:pt>
                <c:pt idx="82">
                  <c:v>86.439114852608213</c:v>
                </c:pt>
                <c:pt idx="83">
                  <c:v>86.910548438798344</c:v>
                </c:pt>
                <c:pt idx="84">
                  <c:v>136.9510669717275</c:v>
                </c:pt>
                <c:pt idx="85">
                  <c:v>85.594416857329705</c:v>
                </c:pt>
                <c:pt idx="86">
                  <c:v>86.090490343906652</c:v>
                </c:pt>
                <c:pt idx="87">
                  <c:v>135.81336564053998</c:v>
                </c:pt>
                <c:pt idx="88">
                  <c:v>84.883353525337498</c:v>
                </c:pt>
                <c:pt idx="89">
                  <c:v>85.39973657607743</c:v>
                </c:pt>
                <c:pt idx="90">
                  <c:v>134.87360251767814</c:v>
                </c:pt>
                <c:pt idx="91">
                  <c:v>33.718400629419534</c:v>
                </c:pt>
                <c:pt idx="92">
                  <c:v>86.591778193964245</c:v>
                </c:pt>
                <c:pt idx="93">
                  <c:v>136.73597277079048</c:v>
                </c:pt>
                <c:pt idx="94">
                  <c:v>85.459982981744048</c:v>
                </c:pt>
                <c:pt idx="95">
                  <c:v>85.959926499419879</c:v>
                </c:pt>
                <c:pt idx="96">
                  <c:v>135.85530279042274</c:v>
                </c:pt>
                <c:pt idx="97">
                  <c:v>84.909564244014206</c:v>
                </c:pt>
                <c:pt idx="98">
                  <c:v>34.170082270115259</c:v>
                </c:pt>
                <c:pt idx="99">
                  <c:v>139.29920140362216</c:v>
                </c:pt>
                <c:pt idx="100">
                  <c:v>87.062000877263856</c:v>
                </c:pt>
                <c:pt idx="101">
                  <c:v>87.514907998427844</c:v>
                </c:pt>
                <c:pt idx="102">
                  <c:v>138.1133032502901</c:v>
                </c:pt>
                <c:pt idx="103">
                  <c:v>86.32081453143131</c:v>
                </c:pt>
                <c:pt idx="104">
                  <c:v>86.795732500533333</c:v>
                </c:pt>
                <c:pt idx="105">
                  <c:v>136.79601873140504</c:v>
                </c:pt>
                <c:pt idx="106">
                  <c:v>85.497511707128169</c:v>
                </c:pt>
                <c:pt idx="107">
                  <c:v>85.996376283239002</c:v>
                </c:pt>
                <c:pt idx="108">
                  <c:v>135.68589040952867</c:v>
                </c:pt>
                <c:pt idx="109">
                  <c:v>84.80368150595541</c:v>
                </c:pt>
                <c:pt idx="110">
                  <c:v>85.322315538584888</c:v>
                </c:pt>
                <c:pt idx="111">
                  <c:v>134.76829173304498</c:v>
                </c:pt>
                <c:pt idx="112">
                  <c:v>33.692072933261244</c:v>
                </c:pt>
                <c:pt idx="113">
                  <c:v>86.525102405039291</c:v>
                </c:pt>
                <c:pt idx="114">
                  <c:v>136.64513960704551</c:v>
                </c:pt>
                <c:pt idx="115">
                  <c:v>85.403212254403442</c:v>
                </c:pt>
                <c:pt idx="116">
                  <c:v>85.904785824407355</c:v>
                </c:pt>
                <c:pt idx="117">
                  <c:v>135.77994151013894</c:v>
                </c:pt>
                <c:pt idx="118">
                  <c:v>84.862463443836859</c:v>
                </c:pt>
                <c:pt idx="119">
                  <c:v>34.151774873778599</c:v>
                </c:pt>
                <c:pt idx="120">
                  <c:v>139.22882146191847</c:v>
                </c:pt>
                <c:pt idx="121">
                  <c:v>87.018013413699052</c:v>
                </c:pt>
                <c:pt idx="122">
                  <c:v>87.472238785936142</c:v>
                </c:pt>
                <c:pt idx="123">
                  <c:v>138.05492400107696</c:v>
                </c:pt>
                <c:pt idx="124">
                  <c:v>86.284327500673101</c:v>
                </c:pt>
                <c:pt idx="125">
                  <c:v>86.760317943412829</c:v>
                </c:pt>
                <c:pt idx="126">
                  <c:v>136.74817110918903</c:v>
                </c:pt>
                <c:pt idx="127">
                  <c:v>85.46760694324314</c:v>
                </c:pt>
                <c:pt idx="128">
                  <c:v>85.967331363006195</c:v>
                </c:pt>
                <c:pt idx="129">
                  <c:v>135.64653358082813</c:v>
                </c:pt>
                <c:pt idx="130">
                  <c:v>84.779083488017577</c:v>
                </c:pt>
                <c:pt idx="131">
                  <c:v>85.298411487962781</c:v>
                </c:pt>
                <c:pt idx="132">
                  <c:v>134.73576574208681</c:v>
                </c:pt>
                <c:pt idx="133">
                  <c:v>33.683941435521703</c:v>
                </c:pt>
                <c:pt idx="134">
                  <c:v>86.504508817949286</c:v>
                </c:pt>
                <c:pt idx="135">
                  <c:v>136.61707699559304</c:v>
                </c:pt>
                <c:pt idx="136">
                  <c:v>85.385673122245663</c:v>
                </c:pt>
                <c:pt idx="137">
                  <c:v>85.887749782290939</c:v>
                </c:pt>
                <c:pt idx="138">
                  <c:v>135.75665293614446</c:v>
                </c:pt>
                <c:pt idx="139">
                  <c:v>84.847908085090282</c:v>
                </c:pt>
                <c:pt idx="140">
                  <c:v>34.146117277043729</c:v>
                </c:pt>
                <c:pt idx="141">
                  <c:v>139.20707003892298</c:v>
                </c:pt>
                <c:pt idx="142">
                  <c:v>87.004418774326865</c:v>
                </c:pt>
                <c:pt idx="143">
                  <c:v>87.459051256134629</c:v>
                </c:pt>
                <c:pt idx="144">
                  <c:v>138.03687825631999</c:v>
                </c:pt>
                <c:pt idx="145">
                  <c:v>86.273048910199989</c:v>
                </c:pt>
                <c:pt idx="146">
                  <c:v>86.749370657434199</c:v>
                </c:pt>
                <c:pt idx="147">
                  <c:v>136.73337829079389</c:v>
                </c:pt>
                <c:pt idx="148">
                  <c:v>85.458361431746184</c:v>
                </c:pt>
                <c:pt idx="149">
                  <c:v>85.95835154377518</c:v>
                </c:pt>
                <c:pt idx="150">
                  <c:v>135.63436408517222</c:v>
                </c:pt>
                <c:pt idx="151">
                  <c:v>84.771477553232629</c:v>
                </c:pt>
                <c:pt idx="152">
                  <c:v>85.291020038498203</c:v>
                </c:pt>
                <c:pt idx="153">
                  <c:v>134.72570723696697</c:v>
                </c:pt>
                <c:pt idx="154">
                  <c:v>33.681426809241742</c:v>
                </c:pt>
                <c:pt idx="155">
                  <c:v>86.498140323055992</c:v>
                </c:pt>
                <c:pt idx="156">
                  <c:v>136.60839799196503</c:v>
                </c:pt>
                <c:pt idx="157">
                  <c:v>85.380248744978132</c:v>
                </c:pt>
                <c:pt idx="158">
                  <c:v>85.882480948430228</c:v>
                </c:pt>
                <c:pt idx="159">
                  <c:v>135.74944984416399</c:v>
                </c:pt>
                <c:pt idx="160">
                  <c:v>84.843406152602498</c:v>
                </c:pt>
                <c:pt idx="161">
                  <c:v>34.144367384490224</c:v>
                </c:pt>
                <c:pt idx="162">
                  <c:v>139.20034217225088</c:v>
                </c:pt>
                <c:pt idx="163">
                  <c:v>87.000213857656789</c:v>
                </c:pt>
                <c:pt idx="164">
                  <c:v>87.454972232097518</c:v>
                </c:pt>
                <c:pt idx="165">
                  <c:v>138.03129627379982</c:v>
                </c:pt>
                <c:pt idx="166">
                  <c:v>86.269560171124894</c:v>
                </c:pt>
                <c:pt idx="167">
                  <c:v>86.745984378688135</c:v>
                </c:pt>
                <c:pt idx="168">
                  <c:v>136.72880227475562</c:v>
                </c:pt>
                <c:pt idx="169">
                  <c:v>85.455501421722275</c:v>
                </c:pt>
                <c:pt idx="170">
                  <c:v>85.955573709567815</c:v>
                </c:pt>
                <c:pt idx="171">
                  <c:v>135.63059940287758</c:v>
                </c:pt>
                <c:pt idx="172">
                  <c:v>84.769124626798487</c:v>
                </c:pt>
                <c:pt idx="173">
                  <c:v>85.288733454793743</c:v>
                </c:pt>
                <c:pt idx="174">
                  <c:v>134.7225954863749</c:v>
                </c:pt>
                <c:pt idx="175">
                  <c:v>33.680648871593725</c:v>
                </c:pt>
                <c:pt idx="176">
                  <c:v>86.496170130236123</c:v>
                </c:pt>
                <c:pt idx="177">
                  <c:v>136.60571293668261</c:v>
                </c:pt>
                <c:pt idx="178">
                  <c:v>85.378570585426644</c:v>
                </c:pt>
                <c:pt idx="179">
                  <c:v>85.880850905256523</c:v>
                </c:pt>
                <c:pt idx="180">
                  <c:v>135.74722134270718</c:v>
                </c:pt>
                <c:pt idx="181">
                  <c:v>84.842013339191993</c:v>
                </c:pt>
                <c:pt idx="182">
                  <c:v>34.143825999295309</c:v>
                </c:pt>
                <c:pt idx="183">
                  <c:v>139.19826067636833</c:v>
                </c:pt>
                <c:pt idx="184">
                  <c:v>86.998912922730213</c:v>
                </c:pt>
                <c:pt idx="185">
                  <c:v>87.453710243573028</c:v>
                </c:pt>
                <c:pt idx="186">
                  <c:v>138.02956926694026</c:v>
                </c:pt>
                <c:pt idx="187">
                  <c:v>86.268480791837661</c:v>
                </c:pt>
                <c:pt idx="188">
                  <c:v>86.744936697627381</c:v>
                </c:pt>
                <c:pt idx="189">
                  <c:v>136.72738648023562</c:v>
                </c:pt>
                <c:pt idx="190">
                  <c:v>85.454616550147264</c:v>
                </c:pt>
                <c:pt idx="191">
                  <c:v>85.954714261449396</c:v>
                </c:pt>
                <c:pt idx="192">
                  <c:v>135.62943461473532</c:v>
                </c:pt>
                <c:pt idx="193">
                  <c:v>84.768396634209566</c:v>
                </c:pt>
                <c:pt idx="194">
                  <c:v>85.28802598768786</c:v>
                </c:pt>
                <c:pt idx="195">
                  <c:v>134.72163270382089</c:v>
                </c:pt>
                <c:pt idx="196">
                  <c:v>33.680408175955222</c:v>
                </c:pt>
                <c:pt idx="197">
                  <c:v>86.495560547940599</c:v>
                </c:pt>
                <c:pt idx="198">
                  <c:v>136.60488216749209</c:v>
                </c:pt>
                <c:pt idx="199">
                  <c:v>85.378051354682555</c:v>
                </c:pt>
                <c:pt idx="200">
                  <c:v>85.880346561508333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Model_4!$M$1</c:f>
              <c:strCache>
                <c:ptCount val="1"/>
                <c:pt idx="0">
                  <c:v>Hourly incom per car_4, $/ hour</c:v>
                </c:pt>
              </c:strCache>
            </c:strRef>
          </c:tx>
          <c:marker>
            <c:symbol val="none"/>
          </c:marker>
          <c:val>
            <c:numRef>
              <c:f>Contrast!$AC$2:$AC$202</c:f>
              <c:numCache>
                <c:formatCode>0.00</c:formatCode>
                <c:ptCount val="201"/>
                <c:pt idx="0">
                  <c:v>0</c:v>
                </c:pt>
                <c:pt idx="1">
                  <c:v>166.66666666666669</c:v>
                </c:pt>
                <c:pt idx="2">
                  <c:v>156.25</c:v>
                </c:pt>
                <c:pt idx="3">
                  <c:v>148.42300556586275</c:v>
                </c:pt>
                <c:pt idx="4">
                  <c:v>142.2872208784718</c:v>
                </c:pt>
                <c:pt idx="5">
                  <c:v>137.32941121585949</c:v>
                </c:pt>
                <c:pt idx="6">
                  <c:v>133.23140551767708</c:v>
                </c:pt>
                <c:pt idx="7">
                  <c:v>129.78372662267819</c:v>
                </c:pt>
                <c:pt idx="8">
                  <c:v>126.84192520559792</c:v>
                </c:pt>
                <c:pt idx="9">
                  <c:v>124.30265943854518</c:v>
                </c:pt>
                <c:pt idx="10">
                  <c:v>122.0897448196243</c:v>
                </c:pt>
                <c:pt idx="11">
                  <c:v>48.058239306643337</c:v>
                </c:pt>
                <c:pt idx="12">
                  <c:v>49.077916667798242</c:v>
                </c:pt>
                <c:pt idx="13">
                  <c:v>50.098361850583117</c:v>
                </c:pt>
                <c:pt idx="14">
                  <c:v>51.118725099615325</c:v>
                </c:pt>
                <c:pt idx="15">
                  <c:v>52.138156932338944</c:v>
                </c:pt>
                <c:pt idx="16">
                  <c:v>53.155810965362313</c:v>
                </c:pt>
                <c:pt idx="17">
                  <c:v>54.170846718909104</c:v>
                </c:pt>
                <c:pt idx="18">
                  <c:v>55.182432379690006</c:v>
                </c:pt>
                <c:pt idx="19">
                  <c:v>56.189747503003609</c:v>
                </c:pt>
                <c:pt idx="20">
                  <c:v>57.191985635603771</c:v>
                </c:pt>
                <c:pt idx="21">
                  <c:v>232.75342736725506</c:v>
                </c:pt>
                <c:pt idx="22">
                  <c:v>196.35129337967953</c:v>
                </c:pt>
                <c:pt idx="23">
                  <c:v>176.33510638094185</c:v>
                </c:pt>
                <c:pt idx="24">
                  <c:v>163.15792502236656</c:v>
                </c:pt>
                <c:pt idx="25">
                  <c:v>153.65754109328935</c:v>
                </c:pt>
                <c:pt idx="26">
                  <c:v>146.41451532116946</c:v>
                </c:pt>
                <c:pt idx="27">
                  <c:v>140.67841585589932</c:v>
                </c:pt>
                <c:pt idx="28">
                  <c:v>136.00850263089367</c:v>
                </c:pt>
                <c:pt idx="29">
                  <c:v>132.12600954898195</c:v>
                </c:pt>
                <c:pt idx="30">
                  <c:v>128.84458425301031</c:v>
                </c:pt>
                <c:pt idx="31">
                  <c:v>31.508543023899342</c:v>
                </c:pt>
                <c:pt idx="32">
                  <c:v>32.39608505005944</c:v>
                </c:pt>
                <c:pt idx="33">
                  <c:v>33.296473844423986</c:v>
                </c:pt>
                <c:pt idx="34">
                  <c:v>34.209224196813629</c:v>
                </c:pt>
                <c:pt idx="35">
                  <c:v>35.133816617695665</c:v>
                </c:pt>
                <c:pt idx="36">
                  <c:v>36.069698077717085</c:v>
                </c:pt>
                <c:pt idx="37">
                  <c:v>37.01628293535628</c:v>
                </c:pt>
                <c:pt idx="38">
                  <c:v>37.972954053030186</c:v>
                </c:pt>
                <c:pt idx="39">
                  <c:v>38.93906410026176</c:v>
                </c:pt>
                <c:pt idx="40">
                  <c:v>39.913937040721635</c:v>
                </c:pt>
                <c:pt idx="41">
                  <c:v>163.58747919253136</c:v>
                </c:pt>
                <c:pt idx="42">
                  <c:v>153.97733887751644</c:v>
                </c:pt>
                <c:pt idx="43">
                  <c:v>146.66356118096994</c:v>
                </c:pt>
                <c:pt idx="44">
                  <c:v>140.87865202572922</c:v>
                </c:pt>
                <c:pt idx="45">
                  <c:v>136.17337491678731</c:v>
                </c:pt>
                <c:pt idx="46">
                  <c:v>132.2642901624603</c:v>
                </c:pt>
                <c:pt idx="47">
                  <c:v>128.9622780148845</c:v>
                </c:pt>
                <c:pt idx="48">
                  <c:v>126.13554906660207</c:v>
                </c:pt>
                <c:pt idx="49">
                  <c:v>123.68901365017845</c:v>
                </c:pt>
                <c:pt idx="50">
                  <c:v>121.55207655802261</c:v>
                </c:pt>
                <c:pt idx="51">
                  <c:v>29.917765774582019</c:v>
                </c:pt>
                <c:pt idx="52">
                  <c:v>30.780636073341739</c:v>
                </c:pt>
                <c:pt idx="53">
                  <c:v>31.657151221864744</c:v>
                </c:pt>
                <c:pt idx="54">
                  <c:v>32.546890097106804</c:v>
                </c:pt>
                <c:pt idx="55">
                  <c:v>33.449396422331191</c:v>
                </c:pt>
                <c:pt idx="56">
                  <c:v>34.364179168373767</c:v>
                </c:pt>
                <c:pt idx="57">
                  <c:v>35.290713138197376</c:v>
                </c:pt>
                <c:pt idx="58">
                  <c:v>36.228439738022665</c:v>
                </c:pt>
                <c:pt idx="59">
                  <c:v>37.176767936752327</c:v>
                </c:pt>
                <c:pt idx="60">
                  <c:v>38.135075413739038</c:v>
                </c:pt>
                <c:pt idx="61">
                  <c:v>156.41083957281452</c:v>
                </c:pt>
                <c:pt idx="62">
                  <c:v>148.54682972609089</c:v>
                </c:pt>
                <c:pt idx="63">
                  <c:v>142.38595110258939</c:v>
                </c:pt>
                <c:pt idx="64">
                  <c:v>137.41019284026058</c:v>
                </c:pt>
                <c:pt idx="65">
                  <c:v>133.29882377725889</c:v>
                </c:pt>
                <c:pt idx="66">
                  <c:v>129.84088013047415</c:v>
                </c:pt>
                <c:pt idx="67">
                  <c:v>126.89099481849946</c:v>
                </c:pt>
                <c:pt idx="68">
                  <c:v>124.34523131417031</c:v>
                </c:pt>
                <c:pt idx="69">
                  <c:v>122.12700427703662</c:v>
                </c:pt>
                <c:pt idx="70">
                  <c:v>120.17845147827131</c:v>
                </c:pt>
                <c:pt idx="71">
                  <c:v>29.613730417537319</c:v>
                </c:pt>
                <c:pt idx="72">
                  <c:v>30.471644573361978</c:v>
                </c:pt>
                <c:pt idx="73">
                  <c:v>31.343345067815925</c:v>
                </c:pt>
                <c:pt idx="74">
                  <c:v>32.228423364596502</c:v>
                </c:pt>
                <c:pt idx="75">
                  <c:v>33.126435674176591</c:v>
                </c:pt>
                <c:pt idx="76">
                  <c:v>34.036903290845466</c:v>
                </c:pt>
                <c:pt idx="77">
                  <c:v>34.959313111509516</c:v>
                </c:pt>
                <c:pt idx="78">
                  <c:v>35.893118340072796</c:v>
                </c:pt>
                <c:pt idx="79">
                  <c:v>36.837739379685907</c:v>
                </c:pt>
                <c:pt idx="80">
                  <c:v>37.792564913516983</c:v>
                </c:pt>
                <c:pt idx="81">
                  <c:v>155.02781269192079</c:v>
                </c:pt>
                <c:pt idx="82">
                  <c:v>147.47908838078573</c:v>
                </c:pt>
                <c:pt idx="83">
                  <c:v>141.53286310387352</c:v>
                </c:pt>
                <c:pt idx="84">
                  <c:v>136.71111800058981</c:v>
                </c:pt>
                <c:pt idx="85">
                  <c:v>132.71469268163378</c:v>
                </c:pt>
                <c:pt idx="86">
                  <c:v>129.34520831543875</c:v>
                </c:pt>
                <c:pt idx="87">
                  <c:v>126.46509570420238</c:v>
                </c:pt>
                <c:pt idx="88">
                  <c:v>123.97548629469819</c:v>
                </c:pt>
                <c:pt idx="89">
                  <c:v>121.80321901010403</c:v>
                </c:pt>
                <c:pt idx="90">
                  <c:v>119.8928211927546</c:v>
                </c:pt>
                <c:pt idx="91">
                  <c:v>29.550338805524213</c:v>
                </c:pt>
                <c:pt idx="92">
                  <c:v>30.407209858484023</c:v>
                </c:pt>
                <c:pt idx="93">
                  <c:v>31.277896287444101</c:v>
                </c:pt>
                <c:pt idx="94">
                  <c:v>32.161992192670958</c:v>
                </c:pt>
                <c:pt idx="95">
                  <c:v>33.059056403224915</c:v>
                </c:pt>
                <c:pt idx="96">
                  <c:v>33.968612800644372</c:v>
                </c:pt>
                <c:pt idx="97">
                  <c:v>34.890150824046998</c:v>
                </c:pt>
                <c:pt idx="98">
                  <c:v>35.823126160577537</c:v>
                </c:pt>
                <c:pt idx="99">
                  <c:v>36.76696162360841</c:v>
                </c:pt>
                <c:pt idx="100">
                  <c:v>37.721048219472252</c:v>
                </c:pt>
                <c:pt idx="101">
                  <c:v>154.73898560716765</c:v>
                </c:pt>
                <c:pt idx="102">
                  <c:v>147.25524848496107</c:v>
                </c:pt>
                <c:pt idx="103">
                  <c:v>141.35352669436975</c:v>
                </c:pt>
                <c:pt idx="104">
                  <c:v>136.56384995601653</c:v>
                </c:pt>
                <c:pt idx="105">
                  <c:v>132.59143692907332</c:v>
                </c:pt>
                <c:pt idx="106">
                  <c:v>129.24048035552357</c:v>
                </c:pt>
                <c:pt idx="107">
                  <c:v>126.37501258176249</c:v>
                </c:pt>
                <c:pt idx="108">
                  <c:v>123.89721020512744</c:v>
                </c:pt>
                <c:pt idx="109">
                  <c:v>121.73462071248818</c:v>
                </c:pt>
                <c:pt idx="110">
                  <c:v>119.83226730926235</c:v>
                </c:pt>
                <c:pt idx="111">
                  <c:v>29.536892207556971</c:v>
                </c:pt>
                <c:pt idx="112">
                  <c:v>30.393541565774267</c:v>
                </c:pt>
                <c:pt idx="113">
                  <c:v>31.264012438694717</c:v>
                </c:pt>
                <c:pt idx="114">
                  <c:v>32.147899486381938</c:v>
                </c:pt>
                <c:pt idx="115">
                  <c:v>33.044762094002273</c:v>
                </c:pt>
                <c:pt idx="116">
                  <c:v>33.954124692677532</c:v>
                </c:pt>
                <c:pt idx="117">
                  <c:v>34.875477261680864</c:v>
                </c:pt>
                <c:pt idx="118">
                  <c:v>35.808276015928605</c:v>
                </c:pt>
                <c:pt idx="119">
                  <c:v>36.751944281199286</c:v>
                </c:pt>
                <c:pt idx="120">
                  <c:v>37.705873557885361</c:v>
                </c:pt>
                <c:pt idx="121">
                  <c:v>154.6776990894837</c:v>
                </c:pt>
                <c:pt idx="122">
                  <c:v>147.20771371045203</c:v>
                </c:pt>
                <c:pt idx="123">
                  <c:v>141.31542061495014</c:v>
                </c:pt>
                <c:pt idx="124">
                  <c:v>136.53254411249759</c:v>
                </c:pt>
                <c:pt idx="125">
                  <c:v>132.56522651338983</c:v>
                </c:pt>
                <c:pt idx="126">
                  <c:v>129.21820370816314</c:v>
                </c:pt>
                <c:pt idx="127">
                  <c:v>126.35584667086238</c:v>
                </c:pt>
                <c:pt idx="128">
                  <c:v>123.88055317406761</c:v>
                </c:pt>
                <c:pt idx="129">
                  <c:v>121.72002075781849</c:v>
                </c:pt>
                <c:pt idx="130">
                  <c:v>119.8193776995876</c:v>
                </c:pt>
                <c:pt idx="131">
                  <c:v>29.534029601126257</c:v>
                </c:pt>
                <c:pt idx="132">
                  <c:v>30.390631743872987</c:v>
                </c:pt>
                <c:pt idx="133">
                  <c:v>31.261056707236879</c:v>
                </c:pt>
                <c:pt idx="134">
                  <c:v>32.144899270478888</c:v>
                </c:pt>
                <c:pt idx="135">
                  <c:v>33.041718937182516</c:v>
                </c:pt>
                <c:pt idx="136">
                  <c:v>33.951040255503727</c:v>
                </c:pt>
                <c:pt idx="137">
                  <c:v>34.872353319748498</c:v>
                </c:pt>
                <c:pt idx="138">
                  <c:v>35.805114457235213</c:v>
                </c:pt>
                <c:pt idx="139">
                  <c:v>36.748747102878937</c:v>
                </c:pt>
                <c:pt idx="140">
                  <c:v>37.70264286230843</c:v>
                </c:pt>
                <c:pt idx="141">
                  <c:v>154.66465105046052</c:v>
                </c:pt>
                <c:pt idx="142">
                  <c:v>147.19759173395821</c:v>
                </c:pt>
                <c:pt idx="143">
                  <c:v>141.30730537021489</c:v>
                </c:pt>
                <c:pt idx="144">
                  <c:v>136.52587645387763</c:v>
                </c:pt>
                <c:pt idx="145">
                  <c:v>132.55964369249247</c:v>
                </c:pt>
                <c:pt idx="146">
                  <c:v>129.21345850042047</c:v>
                </c:pt>
                <c:pt idx="147">
                  <c:v>126.35176389172588</c:v>
                </c:pt>
                <c:pt idx="148">
                  <c:v>123.87700470066581</c:v>
                </c:pt>
                <c:pt idx="149">
                  <c:v>121.71691040042145</c:v>
                </c:pt>
                <c:pt idx="150">
                  <c:v>119.81663163191486</c:v>
                </c:pt>
                <c:pt idx="151">
                  <c:v>29.533419721586789</c:v>
                </c:pt>
                <c:pt idx="152">
                  <c:v>30.390011804171007</c:v>
                </c:pt>
                <c:pt idx="153">
                  <c:v>31.260426985555444</c:v>
                </c:pt>
                <c:pt idx="154">
                  <c:v>32.144260070397195</c:v>
                </c:pt>
                <c:pt idx="155">
                  <c:v>33.041070587509871</c:v>
                </c:pt>
                <c:pt idx="156">
                  <c:v>33.950383109985275</c:v>
                </c:pt>
                <c:pt idx="157">
                  <c:v>34.871687756638963</c:v>
                </c:pt>
                <c:pt idx="158">
                  <c:v>35.804440878738752</c:v>
                </c:pt>
                <c:pt idx="159">
                  <c:v>36.748065934453642</c:v>
                </c:pt>
                <c:pt idx="160">
                  <c:v>37.70195455183562</c:v>
                </c:pt>
                <c:pt idx="161">
                  <c:v>154.66187111773888</c:v>
                </c:pt>
                <c:pt idx="162">
                  <c:v>147.19543513183655</c:v>
                </c:pt>
                <c:pt idx="163">
                  <c:v>141.30557627977456</c:v>
                </c:pt>
                <c:pt idx="164">
                  <c:v>136.52445576791769</c:v>
                </c:pt>
                <c:pt idx="165">
                  <c:v>132.55845413562352</c:v>
                </c:pt>
                <c:pt idx="166">
                  <c:v>129.21244740486941</c:v>
                </c:pt>
                <c:pt idx="167">
                  <c:v>126.35089393563408</c:v>
                </c:pt>
                <c:pt idx="168">
                  <c:v>123.87624858761086</c:v>
                </c:pt>
                <c:pt idx="169">
                  <c:v>121.71624763684032</c:v>
                </c:pt>
                <c:pt idx="170">
                  <c:v>119.81604648855848</c:v>
                </c:pt>
                <c:pt idx="171">
                  <c:v>29.533289765256356</c:v>
                </c:pt>
                <c:pt idx="172">
                  <c:v>30.389879704128159</c:v>
                </c:pt>
                <c:pt idx="173">
                  <c:v>31.260292801074961</c:v>
                </c:pt>
                <c:pt idx="174">
                  <c:v>32.144123866165437</c:v>
                </c:pt>
                <c:pt idx="175">
                  <c:v>33.040932433589454</c:v>
                </c:pt>
                <c:pt idx="176">
                  <c:v>33.950243081752305</c:v>
                </c:pt>
                <c:pt idx="177">
                  <c:v>34.871545934692271</c:v>
                </c:pt>
                <c:pt idx="178">
                  <c:v>35.804297348780544</c:v>
                </c:pt>
                <c:pt idx="179">
                  <c:v>36.747920787141304</c:v>
                </c:pt>
                <c:pt idx="180">
                  <c:v>37.701807882604705</c:v>
                </c:pt>
                <c:pt idx="181">
                  <c:v>154.66127875317372</c:v>
                </c:pt>
                <c:pt idx="182">
                  <c:v>147.19497558672398</c:v>
                </c:pt>
                <c:pt idx="183">
                  <c:v>141.30520783003095</c:v>
                </c:pt>
                <c:pt idx="184">
                  <c:v>136.52415303441953</c:v>
                </c:pt>
                <c:pt idx="185">
                  <c:v>132.5582006525031</c:v>
                </c:pt>
                <c:pt idx="186">
                  <c:v>129.21223194956161</c:v>
                </c:pt>
                <c:pt idx="187">
                  <c:v>126.35070855545997</c:v>
                </c:pt>
                <c:pt idx="188">
                  <c:v>123.87608746611521</c:v>
                </c:pt>
                <c:pt idx="189">
                  <c:v>121.71610640713367</c:v>
                </c:pt>
                <c:pt idx="190">
                  <c:v>119.81592179894596</c:v>
                </c:pt>
                <c:pt idx="191">
                  <c:v>29.533262072516003</c:v>
                </c:pt>
                <c:pt idx="192">
                  <c:v>30.389851554576598</c:v>
                </c:pt>
                <c:pt idx="193">
                  <c:v>31.26026420734312</c:v>
                </c:pt>
                <c:pt idx="194">
                  <c:v>32.144094842037433</c:v>
                </c:pt>
                <c:pt idx="195">
                  <c:v>33.040902993995012</c:v>
                </c:pt>
                <c:pt idx="196">
                  <c:v>33.950213242753449</c:v>
                </c:pt>
                <c:pt idx="197">
                  <c:v>34.871515713463957</c:v>
                </c:pt>
                <c:pt idx="198">
                  <c:v>35.804266763585204</c:v>
                </c:pt>
                <c:pt idx="199">
                  <c:v>36.747889857297281</c:v>
                </c:pt>
                <c:pt idx="200">
                  <c:v>37.701776628448563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8720"/>
        <c:axId val="209680640"/>
      </c:lineChart>
      <c:catAx>
        <c:axId val="20967872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</a:t>
                </a:r>
                <a:r>
                  <a:rPr lang="ru-RU" sz="1100">
                    <a:latin typeface="Times New Roman" pitchFamily="18" charset="0"/>
                    <a:cs typeface="Times New Roman" pitchFamily="18" charset="0"/>
                  </a:rPr>
                  <a:t>, </a:t>
                </a: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9272611193871035"/>
              <c:y val="0.8524743497971843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680640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9680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Hourly incom per car, $/ hour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7.3652955542719326E-4"/>
              <c:y val="0.1636665105247113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9678720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"/>
          <c:y val="0.90036817978397865"/>
          <c:w val="1"/>
          <c:h val="9.9631820216021391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0</xdr:row>
      <xdr:rowOff>109537</xdr:rowOff>
    </xdr:from>
    <xdr:to>
      <xdr:col>22</xdr:col>
      <xdr:colOff>523875</xdr:colOff>
      <xdr:row>23</xdr:row>
      <xdr:rowOff>19049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85724</xdr:colOff>
      <xdr:row>0</xdr:row>
      <xdr:rowOff>147637</xdr:rowOff>
    </xdr:from>
    <xdr:to>
      <xdr:col>23</xdr:col>
      <xdr:colOff>342899</xdr:colOff>
      <xdr:row>21</xdr:row>
      <xdr:rowOff>161925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0</xdr:row>
      <xdr:rowOff>452437</xdr:rowOff>
    </xdr:from>
    <xdr:to>
      <xdr:col>23</xdr:col>
      <xdr:colOff>295275</xdr:colOff>
      <xdr:row>24</xdr:row>
      <xdr:rowOff>95249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19049</xdr:colOff>
      <xdr:row>1</xdr:row>
      <xdr:rowOff>71438</xdr:rowOff>
    </xdr:from>
    <xdr:to>
      <xdr:col>23</xdr:col>
      <xdr:colOff>104774</xdr:colOff>
      <xdr:row>23</xdr:row>
      <xdr:rowOff>85725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228600</xdr:colOff>
      <xdr:row>0</xdr:row>
      <xdr:rowOff>66675</xdr:rowOff>
    </xdr:from>
    <xdr:to>
      <xdr:col>41</xdr:col>
      <xdr:colOff>285750</xdr:colOff>
      <xdr:row>18</xdr:row>
      <xdr:rowOff>152400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209550</xdr:colOff>
      <xdr:row>19</xdr:row>
      <xdr:rowOff>66675</xdr:rowOff>
    </xdr:from>
    <xdr:to>
      <xdr:col>41</xdr:col>
      <xdr:colOff>266700</xdr:colOff>
      <xdr:row>40</xdr:row>
      <xdr:rowOff>133350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390524</xdr:colOff>
      <xdr:row>9</xdr:row>
      <xdr:rowOff>114300</xdr:rowOff>
    </xdr:from>
    <xdr:to>
      <xdr:col>49</xdr:col>
      <xdr:colOff>495299</xdr:colOff>
      <xdr:row>31</xdr:row>
      <xdr:rowOff>28575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2"/>
  <sheetViews>
    <sheetView tabSelected="1" zoomScale="80" zoomScaleNormal="80" workbookViewId="0"/>
  </sheetViews>
  <sheetFormatPr defaultRowHeight="14.4" x14ac:dyDescent="0.3"/>
  <cols>
    <col min="1" max="1" width="22.109375" style="11" customWidth="1"/>
    <col min="2" max="2" width="4.44140625" style="11" customWidth="1"/>
    <col min="3" max="3" width="9.21875" style="11" customWidth="1"/>
    <col min="4" max="4" width="5" style="11" customWidth="1"/>
    <col min="5" max="6" width="3.6640625" style="11" customWidth="1"/>
    <col min="7" max="7" width="7.88671875" style="11" customWidth="1"/>
    <col min="8" max="8" width="9.6640625" style="11" customWidth="1"/>
    <col min="9" max="9" width="7.77734375" style="11" customWidth="1"/>
    <col min="10" max="10" width="10" style="11" customWidth="1"/>
    <col min="11" max="11" width="8.88671875" style="11"/>
    <col min="12" max="12" width="7.5546875" style="11" customWidth="1"/>
    <col min="13" max="13" width="11.44140625" style="11" customWidth="1"/>
    <col min="14" max="14" width="7.77734375" style="11" customWidth="1"/>
    <col min="15" max="16384" width="8.88671875" style="11"/>
  </cols>
  <sheetData>
    <row r="1" spans="1:19" s="5" customFormat="1" ht="42" customHeight="1" x14ac:dyDescent="0.3">
      <c r="A1" s="4" t="s">
        <v>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22</v>
      </c>
      <c r="L1" s="5" t="s">
        <v>23</v>
      </c>
      <c r="M1" s="5" t="s">
        <v>32</v>
      </c>
      <c r="N1" s="5" t="s">
        <v>24</v>
      </c>
    </row>
    <row r="2" spans="1:19" s="5" customFormat="1" ht="15.6" customHeight="1" x14ac:dyDescent="0.3">
      <c r="A2" s="6" t="s">
        <v>0</v>
      </c>
      <c r="B2" s="7">
        <v>1</v>
      </c>
      <c r="C2" s="5" t="s">
        <v>2</v>
      </c>
      <c r="E2" s="5">
        <v>0</v>
      </c>
      <c r="F2" s="5">
        <f>E2*$B$2</f>
        <v>0</v>
      </c>
      <c r="G2" s="8">
        <f>MAX(0,J2*$B$4*$B$2*(N2-1))</f>
        <v>0</v>
      </c>
      <c r="H2" s="8">
        <f>B3</f>
        <v>300</v>
      </c>
      <c r="I2" s="8">
        <v>0</v>
      </c>
      <c r="J2" s="8">
        <f>B6</f>
        <v>1000</v>
      </c>
      <c r="K2" s="8">
        <v>0</v>
      </c>
      <c r="L2" s="8">
        <v>0</v>
      </c>
      <c r="M2" s="8">
        <f>K2*L2</f>
        <v>0</v>
      </c>
      <c r="N2" s="8">
        <f t="shared" ref="N2:N65" si="0">M2/$B$10</f>
        <v>0</v>
      </c>
      <c r="O2" s="8"/>
      <c r="P2" s="8"/>
      <c r="Q2" s="8"/>
      <c r="R2" s="8"/>
      <c r="S2" s="8"/>
    </row>
    <row r="3" spans="1:19" s="5" customFormat="1" ht="15.6" customHeight="1" x14ac:dyDescent="0.3">
      <c r="A3" s="6" t="s">
        <v>7</v>
      </c>
      <c r="B3" s="9">
        <v>300</v>
      </c>
      <c r="C3" s="5" t="s">
        <v>3</v>
      </c>
      <c r="E3" s="5">
        <v>1</v>
      </c>
      <c r="F3" s="5">
        <f t="shared" ref="F3:F66" si="1">E3*$B$2</f>
        <v>1</v>
      </c>
      <c r="G3" s="8">
        <f>MAX(0,IF(N3&gt;=1,J3*$B$4*$B$2*(N3-1),0))</f>
        <v>20.000000000000007</v>
      </c>
      <c r="H3" s="8">
        <f>H2+(G2-I2)</f>
        <v>300</v>
      </c>
      <c r="I3" s="8">
        <f t="shared" ref="I3:I66" si="2">H3*$B$5*$B$2*MAX(0,1-N3)</f>
        <v>0</v>
      </c>
      <c r="J3" s="8">
        <f>IF(MOD(F3,3)=0,$B$6+$B$6*$B$12,IF(MOD(F3,7)=0,$B$6-$B$6*$B$12,$B$6))</f>
        <v>1000</v>
      </c>
      <c r="K3" s="8">
        <f>MIN($B$11,J3/H3)</f>
        <v>3</v>
      </c>
      <c r="L3" s="8">
        <f>$B$8*(J3/(H3*K3))</f>
        <v>55.555555555555557</v>
      </c>
      <c r="M3" s="8">
        <f>K3*L3</f>
        <v>166.66666666666669</v>
      </c>
      <c r="N3" s="8">
        <f>M3/$B$10</f>
        <v>1.666666666666667</v>
      </c>
      <c r="O3" s="8"/>
      <c r="P3" s="8"/>
      <c r="Q3" s="8"/>
      <c r="R3" s="8"/>
      <c r="S3" s="8"/>
    </row>
    <row r="4" spans="1:19" s="5" customFormat="1" ht="15.6" customHeight="1" x14ac:dyDescent="0.3">
      <c r="A4" s="6" t="s">
        <v>8</v>
      </c>
      <c r="B4" s="10">
        <v>0.03</v>
      </c>
      <c r="C4" s="5" t="s">
        <v>4</v>
      </c>
      <c r="E4" s="5">
        <v>2</v>
      </c>
      <c r="F4" s="5">
        <f t="shared" si="1"/>
        <v>2</v>
      </c>
      <c r="G4" s="8">
        <f t="shared" ref="G4:G67" si="3">MAX(0,IF(N4&gt;=1,J4*$B$4*$B$2*(N4-1),0))</f>
        <v>16.875</v>
      </c>
      <c r="H4" s="8">
        <f t="shared" ref="H4:H67" si="4">H3+(G3-I3)</f>
        <v>320</v>
      </c>
      <c r="I4" s="8">
        <f t="shared" si="2"/>
        <v>0</v>
      </c>
      <c r="J4" s="8">
        <f t="shared" ref="J4:J67" si="5">IF(MOD(F4,3)=0,$B$6+$B$6*$B$12,IF(MOD(F4,7)=0,$B$6-$B$6*$B$12,$B$6))</f>
        <v>1000</v>
      </c>
      <c r="K4" s="8">
        <f t="shared" ref="K4:K67" si="6">MIN($B$11,J4/H4)</f>
        <v>3</v>
      </c>
      <c r="L4" s="8">
        <f>$B$8*(J4/(H4*K4))</f>
        <v>52.083333333333336</v>
      </c>
      <c r="M4" s="8">
        <f t="shared" ref="M4:M67" si="7">K4*L4</f>
        <v>156.25</v>
      </c>
      <c r="N4" s="8">
        <f t="shared" si="0"/>
        <v>1.5625</v>
      </c>
      <c r="O4" s="8"/>
      <c r="P4" s="8"/>
      <c r="Q4" s="8"/>
      <c r="R4" s="8"/>
      <c r="S4" s="8"/>
    </row>
    <row r="5" spans="1:19" s="5" customFormat="1" ht="15.6" customHeight="1" x14ac:dyDescent="0.3">
      <c r="A5" s="6" t="s">
        <v>9</v>
      </c>
      <c r="B5" s="10">
        <v>0.04</v>
      </c>
      <c r="C5" s="5" t="s">
        <v>4</v>
      </c>
      <c r="E5" s="5">
        <v>3</v>
      </c>
      <c r="F5" s="5">
        <f t="shared" si="1"/>
        <v>3</v>
      </c>
      <c r="G5" s="8">
        <f t="shared" si="3"/>
        <v>14.526901669758823</v>
      </c>
      <c r="H5" s="8">
        <f t="shared" si="4"/>
        <v>336.875</v>
      </c>
      <c r="I5" s="8">
        <f t="shared" si="2"/>
        <v>0</v>
      </c>
      <c r="J5" s="8">
        <f t="shared" si="5"/>
        <v>1000</v>
      </c>
      <c r="K5" s="8">
        <f t="shared" si="6"/>
        <v>2.968460111317254</v>
      </c>
      <c r="L5" s="8">
        <f t="shared" ref="L5:L67" si="8">$B$8*(J5/(H5*K5))</f>
        <v>50.000000000000014</v>
      </c>
      <c r="M5" s="8">
        <f t="shared" si="7"/>
        <v>148.42300556586275</v>
      </c>
      <c r="N5" s="8">
        <f t="shared" si="0"/>
        <v>1.4842300556586274</v>
      </c>
      <c r="O5" s="8"/>
      <c r="P5" s="8"/>
      <c r="Q5" s="8"/>
      <c r="R5" s="8"/>
      <c r="S5" s="8"/>
    </row>
    <row r="6" spans="1:19" s="5" customFormat="1" ht="15.6" customHeight="1" x14ac:dyDescent="0.3">
      <c r="A6" s="6" t="s">
        <v>10</v>
      </c>
      <c r="B6" s="9">
        <v>1000</v>
      </c>
      <c r="C6" s="5" t="s">
        <v>21</v>
      </c>
      <c r="E6" s="5">
        <v>4</v>
      </c>
      <c r="F6" s="5">
        <f t="shared" si="1"/>
        <v>4</v>
      </c>
      <c r="G6" s="8">
        <f t="shared" si="3"/>
        <v>12.686166263541542</v>
      </c>
      <c r="H6" s="8">
        <f t="shared" si="4"/>
        <v>351.40190166975884</v>
      </c>
      <c r="I6" s="8">
        <f t="shared" si="2"/>
        <v>0</v>
      </c>
      <c r="J6" s="8">
        <f t="shared" si="5"/>
        <v>1000</v>
      </c>
      <c r="K6" s="8">
        <f t="shared" si="6"/>
        <v>2.8457444175694357</v>
      </c>
      <c r="L6" s="8">
        <f t="shared" si="8"/>
        <v>50</v>
      </c>
      <c r="M6" s="8">
        <f t="shared" si="7"/>
        <v>142.2872208784718</v>
      </c>
      <c r="N6" s="8">
        <f t="shared" si="0"/>
        <v>1.4228722087847181</v>
      </c>
      <c r="O6" s="8"/>
      <c r="P6" s="8"/>
      <c r="Q6" s="8"/>
      <c r="R6" s="8"/>
      <c r="S6" s="8"/>
    </row>
    <row r="7" spans="1:19" s="5" customFormat="1" ht="15.6" customHeight="1" x14ac:dyDescent="0.3">
      <c r="A7" s="6" t="s">
        <v>36</v>
      </c>
      <c r="B7" s="10">
        <f>20/60</f>
        <v>0.33333333333333331</v>
      </c>
      <c r="C7" s="5" t="s">
        <v>2</v>
      </c>
      <c r="E7" s="5">
        <v>5</v>
      </c>
      <c r="F7" s="5">
        <f t="shared" si="1"/>
        <v>5</v>
      </c>
      <c r="G7" s="8">
        <f t="shared" si="3"/>
        <v>11.198823364757846</v>
      </c>
      <c r="H7" s="8">
        <f t="shared" si="4"/>
        <v>364.08806793330041</v>
      </c>
      <c r="I7" s="8">
        <f t="shared" si="2"/>
        <v>0</v>
      </c>
      <c r="J7" s="8">
        <f t="shared" si="5"/>
        <v>1000</v>
      </c>
      <c r="K7" s="8">
        <f t="shared" si="6"/>
        <v>2.7465882243171902</v>
      </c>
      <c r="L7" s="8">
        <f t="shared" si="8"/>
        <v>49.999999999999993</v>
      </c>
      <c r="M7" s="8">
        <f t="shared" si="7"/>
        <v>137.32941121585949</v>
      </c>
      <c r="N7" s="8">
        <f t="shared" si="0"/>
        <v>1.3732941121585949</v>
      </c>
      <c r="O7" s="8"/>
      <c r="P7" s="8"/>
      <c r="Q7" s="8"/>
      <c r="R7" s="8"/>
      <c r="S7" s="8"/>
    </row>
    <row r="8" spans="1:19" s="5" customFormat="1" ht="15.6" customHeight="1" x14ac:dyDescent="0.3">
      <c r="A8" s="6" t="s">
        <v>11</v>
      </c>
      <c r="B8" s="9">
        <v>50</v>
      </c>
      <c r="C8" s="5" t="s">
        <v>1</v>
      </c>
      <c r="E8" s="5">
        <v>6</v>
      </c>
      <c r="F8" s="5">
        <f t="shared" si="1"/>
        <v>6</v>
      </c>
      <c r="G8" s="8">
        <f t="shared" si="3"/>
        <v>9.9694216553031207</v>
      </c>
      <c r="H8" s="8">
        <f t="shared" si="4"/>
        <v>375.28689129805826</v>
      </c>
      <c r="I8" s="8">
        <f t="shared" si="2"/>
        <v>0</v>
      </c>
      <c r="J8" s="8">
        <f t="shared" si="5"/>
        <v>1000</v>
      </c>
      <c r="K8" s="8">
        <f t="shared" si="6"/>
        <v>2.6646281103535419</v>
      </c>
      <c r="L8" s="8">
        <f t="shared" si="8"/>
        <v>49.999999999999993</v>
      </c>
      <c r="M8" s="8">
        <f t="shared" si="7"/>
        <v>133.23140551767708</v>
      </c>
      <c r="N8" s="8">
        <f t="shared" si="0"/>
        <v>1.3323140551767707</v>
      </c>
      <c r="O8" s="8"/>
      <c r="P8" s="8"/>
      <c r="Q8" s="8"/>
      <c r="R8" s="8"/>
      <c r="S8" s="8"/>
    </row>
    <row r="9" spans="1:19" s="5" customFormat="1" ht="15.6" customHeight="1" x14ac:dyDescent="0.3">
      <c r="A9" s="6" t="s">
        <v>12</v>
      </c>
      <c r="B9" s="10">
        <f>5/60</f>
        <v>8.3333333333333329E-2</v>
      </c>
      <c r="C9" s="5" t="s">
        <v>2</v>
      </c>
      <c r="E9" s="5">
        <v>7</v>
      </c>
      <c r="F9" s="5">
        <f t="shared" si="1"/>
        <v>7</v>
      </c>
      <c r="G9" s="8">
        <f t="shared" si="3"/>
        <v>8.9351179868034549</v>
      </c>
      <c r="H9" s="8">
        <f t="shared" si="4"/>
        <v>385.25631295336137</v>
      </c>
      <c r="I9" s="8">
        <f t="shared" si="2"/>
        <v>0</v>
      </c>
      <c r="J9" s="8">
        <f t="shared" si="5"/>
        <v>1000</v>
      </c>
      <c r="K9" s="8">
        <f t="shared" si="6"/>
        <v>2.5956745324535633</v>
      </c>
      <c r="L9" s="8">
        <f t="shared" si="8"/>
        <v>50.000000000000014</v>
      </c>
      <c r="M9" s="8">
        <f t="shared" si="7"/>
        <v>129.78372662267819</v>
      </c>
      <c r="N9" s="8">
        <f t="shared" si="0"/>
        <v>1.2978372662267819</v>
      </c>
      <c r="O9" s="8"/>
      <c r="P9" s="8"/>
      <c r="Q9" s="8"/>
      <c r="R9" s="8"/>
      <c r="S9" s="8"/>
    </row>
    <row r="10" spans="1:19" s="5" customFormat="1" ht="26.4" customHeight="1" x14ac:dyDescent="0.3">
      <c r="A10" s="6" t="s">
        <v>13</v>
      </c>
      <c r="B10" s="9">
        <v>100</v>
      </c>
      <c r="C10" s="5" t="s">
        <v>5</v>
      </c>
      <c r="E10" s="5">
        <v>8</v>
      </c>
      <c r="F10" s="5">
        <f t="shared" si="1"/>
        <v>8</v>
      </c>
      <c r="G10" s="8">
        <f t="shared" si="3"/>
        <v>8.0525775616793744</v>
      </c>
      <c r="H10" s="8">
        <f t="shared" si="4"/>
        <v>394.19143094016482</v>
      </c>
      <c r="I10" s="8">
        <f t="shared" si="2"/>
        <v>0</v>
      </c>
      <c r="J10" s="8">
        <f t="shared" si="5"/>
        <v>1000</v>
      </c>
      <c r="K10" s="8">
        <f t="shared" si="6"/>
        <v>2.5368385041119583</v>
      </c>
      <c r="L10" s="8">
        <f t="shared" si="8"/>
        <v>50</v>
      </c>
      <c r="M10" s="8">
        <f t="shared" si="7"/>
        <v>126.84192520559792</v>
      </c>
      <c r="N10" s="8">
        <f t="shared" si="0"/>
        <v>1.2684192520559792</v>
      </c>
      <c r="O10" s="8"/>
      <c r="P10" s="8"/>
      <c r="Q10" s="8"/>
      <c r="R10" s="8"/>
      <c r="S10" s="8"/>
    </row>
    <row r="11" spans="1:19" s="5" customFormat="1" ht="16.8" customHeight="1" x14ac:dyDescent="0.3">
      <c r="A11" s="6" t="s">
        <v>14</v>
      </c>
      <c r="B11" s="7">
        <f>CEILING(1/(B7+B9),1)</f>
        <v>3</v>
      </c>
      <c r="C11" s="5" t="s">
        <v>15</v>
      </c>
      <c r="E11" s="5">
        <v>9</v>
      </c>
      <c r="F11" s="5">
        <f t="shared" si="1"/>
        <v>9</v>
      </c>
      <c r="G11" s="8">
        <f t="shared" si="3"/>
        <v>7.2907978315635518</v>
      </c>
      <c r="H11" s="8">
        <f t="shared" si="4"/>
        <v>402.24400850184418</v>
      </c>
      <c r="I11" s="8">
        <f t="shared" si="2"/>
        <v>0</v>
      </c>
      <c r="J11" s="8">
        <f t="shared" si="5"/>
        <v>1000</v>
      </c>
      <c r="K11" s="8">
        <f t="shared" si="6"/>
        <v>2.486053188770903</v>
      </c>
      <c r="L11" s="8">
        <f t="shared" si="8"/>
        <v>50.000000000000014</v>
      </c>
      <c r="M11" s="8">
        <f t="shared" si="7"/>
        <v>124.30265943854518</v>
      </c>
      <c r="N11" s="8">
        <f t="shared" si="0"/>
        <v>1.2430265943854517</v>
      </c>
      <c r="O11" s="8"/>
      <c r="P11" s="8"/>
      <c r="Q11" s="8"/>
      <c r="R11" s="8"/>
      <c r="S11" s="8"/>
    </row>
    <row r="12" spans="1:19" s="5" customFormat="1" ht="13.2" customHeight="1" x14ac:dyDescent="0.3">
      <c r="A12" s="6" t="s">
        <v>16</v>
      </c>
      <c r="B12" s="7">
        <v>0</v>
      </c>
      <c r="E12" s="5">
        <v>10</v>
      </c>
      <c r="F12" s="5">
        <f t="shared" si="1"/>
        <v>10</v>
      </c>
      <c r="G12" s="8">
        <f t="shared" si="3"/>
        <v>6.6269234458872877</v>
      </c>
      <c r="H12" s="8">
        <f t="shared" si="4"/>
        <v>409.53480633340774</v>
      </c>
      <c r="I12" s="8">
        <f t="shared" si="2"/>
        <v>0</v>
      </c>
      <c r="J12" s="8">
        <f t="shared" si="5"/>
        <v>1000</v>
      </c>
      <c r="K12" s="8">
        <f t="shared" si="6"/>
        <v>2.4417948963924854</v>
      </c>
      <c r="L12" s="8">
        <f t="shared" si="8"/>
        <v>50.000000000000014</v>
      </c>
      <c r="M12" s="8">
        <f t="shared" si="7"/>
        <v>122.0897448196243</v>
      </c>
      <c r="N12" s="8">
        <f t="shared" si="0"/>
        <v>1.2208974481962429</v>
      </c>
      <c r="O12" s="8"/>
      <c r="P12" s="8"/>
      <c r="Q12" s="8"/>
      <c r="R12" s="8"/>
      <c r="S12" s="8"/>
    </row>
    <row r="13" spans="1:19" s="5" customFormat="1" ht="13.2" x14ac:dyDescent="0.3">
      <c r="E13" s="5">
        <v>11</v>
      </c>
      <c r="F13" s="5">
        <f t="shared" si="1"/>
        <v>11</v>
      </c>
      <c r="G13" s="8">
        <f t="shared" si="3"/>
        <v>6.0436794799825</v>
      </c>
      <c r="H13" s="8">
        <f t="shared" si="4"/>
        <v>416.16172977929506</v>
      </c>
      <c r="I13" s="8">
        <f t="shared" si="2"/>
        <v>0</v>
      </c>
      <c r="J13" s="8">
        <f t="shared" si="5"/>
        <v>1000</v>
      </c>
      <c r="K13" s="8">
        <f t="shared" si="6"/>
        <v>2.4029119653321667</v>
      </c>
      <c r="L13" s="8">
        <f t="shared" si="8"/>
        <v>50</v>
      </c>
      <c r="M13" s="8">
        <f t="shared" si="7"/>
        <v>120.14559826660833</v>
      </c>
      <c r="N13" s="8">
        <f t="shared" si="0"/>
        <v>1.2014559826660833</v>
      </c>
      <c r="O13" s="8"/>
      <c r="P13" s="8"/>
      <c r="Q13" s="8"/>
      <c r="R13" s="8"/>
      <c r="S13" s="8"/>
    </row>
    <row r="14" spans="1:19" s="5" customFormat="1" ht="13.2" x14ac:dyDescent="0.3">
      <c r="E14" s="5">
        <v>12</v>
      </c>
      <c r="F14" s="5">
        <f t="shared" si="1"/>
        <v>12</v>
      </c>
      <c r="G14" s="8">
        <f t="shared" si="3"/>
        <v>5.5277305099339884</v>
      </c>
      <c r="H14" s="8">
        <f t="shared" si="4"/>
        <v>422.20540925927753</v>
      </c>
      <c r="I14" s="8">
        <f t="shared" si="2"/>
        <v>0</v>
      </c>
      <c r="J14" s="8">
        <f t="shared" si="5"/>
        <v>1000</v>
      </c>
      <c r="K14" s="8">
        <f t="shared" si="6"/>
        <v>2.3685153673289325</v>
      </c>
      <c r="L14" s="8">
        <f t="shared" si="8"/>
        <v>50</v>
      </c>
      <c r="M14" s="8">
        <f t="shared" si="7"/>
        <v>118.42576836644663</v>
      </c>
      <c r="N14" s="8">
        <f t="shared" si="0"/>
        <v>1.1842576836644663</v>
      </c>
      <c r="O14" s="8"/>
      <c r="P14" s="8"/>
      <c r="Q14" s="8"/>
      <c r="R14" s="8"/>
      <c r="S14" s="8"/>
    </row>
    <row r="15" spans="1:19" s="5" customFormat="1" ht="13.2" x14ac:dyDescent="0.3">
      <c r="A15" s="6"/>
      <c r="E15" s="5">
        <v>13</v>
      </c>
      <c r="F15" s="5">
        <f t="shared" si="1"/>
        <v>13</v>
      </c>
      <c r="G15" s="8">
        <f t="shared" si="3"/>
        <v>5.0685944233674025</v>
      </c>
      <c r="H15" s="8">
        <f t="shared" si="4"/>
        <v>427.7331397692115</v>
      </c>
      <c r="I15" s="8">
        <f t="shared" si="2"/>
        <v>0</v>
      </c>
      <c r="J15" s="8">
        <f t="shared" si="5"/>
        <v>1000</v>
      </c>
      <c r="K15" s="8">
        <f t="shared" si="6"/>
        <v>2.3379062948911602</v>
      </c>
      <c r="L15" s="8">
        <f t="shared" si="8"/>
        <v>50</v>
      </c>
      <c r="M15" s="8">
        <f t="shared" si="7"/>
        <v>116.89531474455801</v>
      </c>
      <c r="N15" s="8">
        <f t="shared" si="0"/>
        <v>1.1689531474455801</v>
      </c>
      <c r="O15" s="8"/>
      <c r="P15" s="8"/>
      <c r="Q15" s="8"/>
      <c r="R15" s="8"/>
      <c r="S15" s="8"/>
    </row>
    <row r="16" spans="1:19" s="5" customFormat="1" ht="13.2" x14ac:dyDescent="0.3">
      <c r="A16" s="6"/>
      <c r="E16" s="5">
        <v>14</v>
      </c>
      <c r="F16" s="5">
        <f t="shared" si="1"/>
        <v>14</v>
      </c>
      <c r="G16" s="8">
        <f t="shared" si="3"/>
        <v>4.6579017941864791</v>
      </c>
      <c r="H16" s="8">
        <f t="shared" si="4"/>
        <v>432.80173419257892</v>
      </c>
      <c r="I16" s="8">
        <f t="shared" si="2"/>
        <v>0</v>
      </c>
      <c r="J16" s="8">
        <f t="shared" si="5"/>
        <v>1000</v>
      </c>
      <c r="K16" s="8">
        <f t="shared" si="6"/>
        <v>2.3105267862790986</v>
      </c>
      <c r="L16" s="8">
        <f t="shared" si="8"/>
        <v>50</v>
      </c>
      <c r="M16" s="8">
        <f t="shared" si="7"/>
        <v>115.52633931395494</v>
      </c>
      <c r="N16" s="8">
        <f t="shared" si="0"/>
        <v>1.1552633931395493</v>
      </c>
      <c r="O16" s="8"/>
      <c r="P16" s="8"/>
      <c r="Q16" s="8"/>
      <c r="R16" s="8"/>
      <c r="S16" s="8"/>
    </row>
    <row r="17" spans="1:19" s="5" customFormat="1" ht="13.2" x14ac:dyDescent="0.3">
      <c r="A17" s="6"/>
      <c r="E17" s="5">
        <v>15</v>
      </c>
      <c r="F17" s="5">
        <f t="shared" si="1"/>
        <v>15</v>
      </c>
      <c r="G17" s="8">
        <f t="shared" si="3"/>
        <v>4.2888777982108461</v>
      </c>
      <c r="H17" s="8">
        <f t="shared" si="4"/>
        <v>437.45963598676542</v>
      </c>
      <c r="I17" s="8">
        <f t="shared" si="2"/>
        <v>0</v>
      </c>
      <c r="J17" s="8">
        <f t="shared" si="5"/>
        <v>1000</v>
      </c>
      <c r="K17" s="8">
        <f t="shared" si="6"/>
        <v>2.2859251865473897</v>
      </c>
      <c r="L17" s="8">
        <f t="shared" si="8"/>
        <v>50</v>
      </c>
      <c r="M17" s="8">
        <f t="shared" si="7"/>
        <v>114.29625932736948</v>
      </c>
      <c r="N17" s="8">
        <f t="shared" si="0"/>
        <v>1.1429625932736949</v>
      </c>
      <c r="O17" s="8"/>
      <c r="P17" s="8"/>
      <c r="Q17" s="8"/>
      <c r="R17" s="8"/>
      <c r="S17" s="8"/>
    </row>
    <row r="18" spans="1:19" s="5" customFormat="1" ht="13.2" x14ac:dyDescent="0.3">
      <c r="A18" s="6"/>
      <c r="E18" s="5">
        <v>16</v>
      </c>
      <c r="F18" s="5">
        <f t="shared" si="1"/>
        <v>16</v>
      </c>
      <c r="G18" s="8">
        <f t="shared" si="3"/>
        <v>3.9559716262030054</v>
      </c>
      <c r="H18" s="8">
        <f t="shared" si="4"/>
        <v>441.74851378497624</v>
      </c>
      <c r="I18" s="8">
        <f t="shared" si="2"/>
        <v>0</v>
      </c>
      <c r="J18" s="8">
        <f t="shared" si="5"/>
        <v>1000</v>
      </c>
      <c r="K18" s="8">
        <f t="shared" si="6"/>
        <v>2.263731441746867</v>
      </c>
      <c r="L18" s="8">
        <f t="shared" si="8"/>
        <v>50</v>
      </c>
      <c r="M18" s="8">
        <f t="shared" si="7"/>
        <v>113.18657208734335</v>
      </c>
      <c r="N18" s="8">
        <f t="shared" si="0"/>
        <v>1.1318657208734335</v>
      </c>
      <c r="O18" s="8"/>
      <c r="P18" s="8"/>
      <c r="Q18" s="8"/>
      <c r="R18" s="8"/>
      <c r="S18" s="8"/>
    </row>
    <row r="19" spans="1:19" s="5" customFormat="1" ht="13.2" x14ac:dyDescent="0.3">
      <c r="A19" s="6"/>
      <c r="E19" s="5">
        <v>17</v>
      </c>
      <c r="F19" s="5">
        <f t="shared" si="1"/>
        <v>17</v>
      </c>
      <c r="G19" s="8">
        <f t="shared" si="3"/>
        <v>3.6545861461590068</v>
      </c>
      <c r="H19" s="8">
        <f t="shared" si="4"/>
        <v>445.70448541117923</v>
      </c>
      <c r="I19" s="8">
        <f t="shared" si="2"/>
        <v>0</v>
      </c>
      <c r="J19" s="8">
        <f t="shared" si="5"/>
        <v>1000</v>
      </c>
      <c r="K19" s="8">
        <f t="shared" si="6"/>
        <v>2.2436390764106</v>
      </c>
      <c r="L19" s="8">
        <f t="shared" si="8"/>
        <v>50.000000000000014</v>
      </c>
      <c r="M19" s="8">
        <f t="shared" si="7"/>
        <v>112.18195382053003</v>
      </c>
      <c r="N19" s="8">
        <f t="shared" si="0"/>
        <v>1.1218195382053002</v>
      </c>
      <c r="O19" s="8"/>
      <c r="P19" s="8"/>
      <c r="Q19" s="8"/>
      <c r="R19" s="8"/>
      <c r="S19" s="8"/>
    </row>
    <row r="20" spans="1:19" s="5" customFormat="1" ht="13.2" x14ac:dyDescent="0.3">
      <c r="A20" s="6"/>
      <c r="E20" s="5">
        <v>18</v>
      </c>
      <c r="F20" s="5">
        <f t="shared" si="1"/>
        <v>18</v>
      </c>
      <c r="G20" s="8">
        <f t="shared" si="3"/>
        <v>3.3808772303509538</v>
      </c>
      <c r="H20" s="8">
        <f t="shared" si="4"/>
        <v>449.35907155733827</v>
      </c>
      <c r="I20" s="8">
        <f t="shared" si="2"/>
        <v>0</v>
      </c>
      <c r="J20" s="8">
        <f t="shared" si="5"/>
        <v>1000</v>
      </c>
      <c r="K20" s="8">
        <f t="shared" si="6"/>
        <v>2.2253918153567307</v>
      </c>
      <c r="L20" s="8">
        <f t="shared" si="8"/>
        <v>49.999999999999993</v>
      </c>
      <c r="M20" s="8">
        <f t="shared" si="7"/>
        <v>111.26959076783652</v>
      </c>
      <c r="N20" s="8">
        <f t="shared" si="0"/>
        <v>1.1126959076783651</v>
      </c>
      <c r="O20" s="8"/>
      <c r="P20" s="8"/>
      <c r="Q20" s="8"/>
      <c r="R20" s="8"/>
      <c r="S20" s="8"/>
    </row>
    <row r="21" spans="1:19" s="5" customFormat="1" ht="13.2" x14ac:dyDescent="0.3">
      <c r="A21" s="6"/>
      <c r="E21" s="5">
        <v>19</v>
      </c>
      <c r="F21" s="5">
        <f t="shared" si="1"/>
        <v>19</v>
      </c>
      <c r="G21" s="8">
        <f t="shared" si="3"/>
        <v>3.1316024578034263</v>
      </c>
      <c r="H21" s="8">
        <f t="shared" si="4"/>
        <v>452.73994878768923</v>
      </c>
      <c r="I21" s="8">
        <f t="shared" si="2"/>
        <v>0</v>
      </c>
      <c r="J21" s="8">
        <f t="shared" si="5"/>
        <v>1000</v>
      </c>
      <c r="K21" s="8">
        <f t="shared" si="6"/>
        <v>2.2087734971868946</v>
      </c>
      <c r="L21" s="8">
        <f t="shared" si="8"/>
        <v>50.000000000000014</v>
      </c>
      <c r="M21" s="8">
        <f t="shared" si="7"/>
        <v>110.43867485934476</v>
      </c>
      <c r="N21" s="8">
        <f t="shared" si="0"/>
        <v>1.1043867485934475</v>
      </c>
      <c r="O21" s="8"/>
      <c r="P21" s="8"/>
      <c r="Q21" s="8"/>
      <c r="R21" s="8"/>
      <c r="S21" s="8"/>
    </row>
    <row r="22" spans="1:19" s="5" customFormat="1" ht="13.2" x14ac:dyDescent="0.3">
      <c r="A22" s="6"/>
      <c r="E22" s="5">
        <v>20</v>
      </c>
      <c r="F22" s="5">
        <f t="shared" si="1"/>
        <v>20</v>
      </c>
      <c r="G22" s="8">
        <f t="shared" si="3"/>
        <v>2.9040054353431421</v>
      </c>
      <c r="H22" s="8">
        <f t="shared" si="4"/>
        <v>455.87155124549264</v>
      </c>
      <c r="I22" s="8">
        <f t="shared" si="2"/>
        <v>0</v>
      </c>
      <c r="J22" s="8">
        <f t="shared" si="5"/>
        <v>1000</v>
      </c>
      <c r="K22" s="8">
        <f t="shared" si="6"/>
        <v>2.1936003623562095</v>
      </c>
      <c r="L22" s="8">
        <f t="shared" si="8"/>
        <v>50</v>
      </c>
      <c r="M22" s="8">
        <f t="shared" si="7"/>
        <v>109.68001811781048</v>
      </c>
      <c r="N22" s="8">
        <f t="shared" si="0"/>
        <v>1.0968001811781047</v>
      </c>
      <c r="O22" s="8"/>
      <c r="P22" s="8"/>
      <c r="Q22" s="8"/>
      <c r="R22" s="8"/>
      <c r="S22" s="8"/>
    </row>
    <row r="23" spans="1:19" s="5" customFormat="1" ht="13.2" x14ac:dyDescent="0.3">
      <c r="A23" s="6"/>
      <c r="E23" s="5">
        <v>21</v>
      </c>
      <c r="F23" s="5">
        <f t="shared" si="1"/>
        <v>21</v>
      </c>
      <c r="G23" s="8">
        <f t="shared" si="3"/>
        <v>2.6957262250902869</v>
      </c>
      <c r="H23" s="8">
        <f t="shared" si="4"/>
        <v>458.77555668083579</v>
      </c>
      <c r="I23" s="8">
        <f t="shared" si="2"/>
        <v>0</v>
      </c>
      <c r="J23" s="8">
        <f t="shared" si="5"/>
        <v>1000</v>
      </c>
      <c r="K23" s="8">
        <f t="shared" si="6"/>
        <v>2.1797150816726862</v>
      </c>
      <c r="L23" s="8">
        <f t="shared" si="8"/>
        <v>49.999999999999993</v>
      </c>
      <c r="M23" s="8">
        <f t="shared" si="7"/>
        <v>108.98575408363429</v>
      </c>
      <c r="N23" s="8">
        <f t="shared" si="0"/>
        <v>1.0898575408363429</v>
      </c>
      <c r="O23" s="8"/>
      <c r="P23" s="8"/>
      <c r="Q23" s="8"/>
      <c r="R23" s="8"/>
      <c r="S23" s="8"/>
    </row>
    <row r="24" spans="1:19" s="5" customFormat="1" ht="13.2" x14ac:dyDescent="0.3">
      <c r="A24" s="6"/>
      <c r="E24" s="5">
        <v>22</v>
      </c>
      <c r="F24" s="5">
        <f t="shared" si="1"/>
        <v>22</v>
      </c>
      <c r="G24" s="8">
        <f t="shared" si="3"/>
        <v>2.5047311840157316</v>
      </c>
      <c r="H24" s="8">
        <f t="shared" si="4"/>
        <v>461.4712829059261</v>
      </c>
      <c r="I24" s="8">
        <f t="shared" si="2"/>
        <v>0</v>
      </c>
      <c r="J24" s="8">
        <f t="shared" si="5"/>
        <v>1000</v>
      </c>
      <c r="K24" s="8">
        <f t="shared" si="6"/>
        <v>2.1669820789343817</v>
      </c>
      <c r="L24" s="8">
        <f t="shared" si="8"/>
        <v>50.000000000000014</v>
      </c>
      <c r="M24" s="8">
        <f t="shared" si="7"/>
        <v>108.34910394671911</v>
      </c>
      <c r="N24" s="8">
        <f t="shared" si="0"/>
        <v>1.0834910394671911</v>
      </c>
      <c r="O24" s="8"/>
      <c r="P24" s="8"/>
      <c r="Q24" s="8"/>
      <c r="R24" s="8"/>
      <c r="S24" s="8"/>
    </row>
    <row r="25" spans="1:19" s="5" customFormat="1" ht="13.2" x14ac:dyDescent="0.3">
      <c r="A25" s="6"/>
      <c r="E25" s="5">
        <v>23</v>
      </c>
      <c r="F25" s="5">
        <f t="shared" si="1"/>
        <v>23</v>
      </c>
      <c r="G25" s="8">
        <f t="shared" si="3"/>
        <v>2.3292574281485279</v>
      </c>
      <c r="H25" s="8">
        <f t="shared" si="4"/>
        <v>463.97601408994183</v>
      </c>
      <c r="I25" s="8">
        <f t="shared" si="2"/>
        <v>0</v>
      </c>
      <c r="J25" s="8">
        <f t="shared" si="5"/>
        <v>1000</v>
      </c>
      <c r="K25" s="8">
        <f t="shared" si="6"/>
        <v>2.1552838285432356</v>
      </c>
      <c r="L25" s="8">
        <f t="shared" si="8"/>
        <v>49.999999999999993</v>
      </c>
      <c r="M25" s="8">
        <f t="shared" si="7"/>
        <v>107.76419142716176</v>
      </c>
      <c r="N25" s="8">
        <f t="shared" si="0"/>
        <v>1.0776419142716176</v>
      </c>
      <c r="O25" s="8"/>
      <c r="P25" s="8"/>
      <c r="Q25" s="8"/>
      <c r="R25" s="8"/>
      <c r="S25" s="8"/>
    </row>
    <row r="26" spans="1:19" s="5" customFormat="1" ht="13.2" x14ac:dyDescent="0.3">
      <c r="A26" s="6"/>
      <c r="E26" s="5">
        <v>24</v>
      </c>
      <c r="F26" s="5">
        <f t="shared" si="1"/>
        <v>24</v>
      </c>
      <c r="G26" s="8">
        <f t="shared" si="3"/>
        <v>2.16776844740876</v>
      </c>
      <c r="H26" s="8">
        <f t="shared" si="4"/>
        <v>466.30527151809036</v>
      </c>
      <c r="I26" s="8">
        <f t="shared" si="2"/>
        <v>0</v>
      </c>
      <c r="J26" s="8">
        <f t="shared" si="5"/>
        <v>1000</v>
      </c>
      <c r="K26" s="8">
        <f t="shared" si="6"/>
        <v>2.1445178964939169</v>
      </c>
      <c r="L26" s="8">
        <f t="shared" si="8"/>
        <v>50.000000000000014</v>
      </c>
      <c r="M26" s="8">
        <f t="shared" si="7"/>
        <v>107.22589482469587</v>
      </c>
      <c r="N26" s="8">
        <f t="shared" si="0"/>
        <v>1.0722589482469587</v>
      </c>
      <c r="O26" s="8"/>
      <c r="P26" s="8"/>
      <c r="Q26" s="8"/>
      <c r="R26" s="8"/>
      <c r="S26" s="8"/>
    </row>
    <row r="27" spans="1:19" s="5" customFormat="1" ht="13.2" x14ac:dyDescent="0.3">
      <c r="A27" s="6"/>
      <c r="E27" s="5">
        <v>25</v>
      </c>
      <c r="F27" s="5">
        <f t="shared" si="1"/>
        <v>25</v>
      </c>
      <c r="G27" s="8">
        <f t="shared" si="3"/>
        <v>2.0189183162059487</v>
      </c>
      <c r="H27" s="8">
        <f t="shared" si="4"/>
        <v>468.47303996549914</v>
      </c>
      <c r="I27" s="8">
        <f t="shared" si="2"/>
        <v>0</v>
      </c>
      <c r="J27" s="8">
        <f t="shared" si="5"/>
        <v>1000</v>
      </c>
      <c r="K27" s="8">
        <f t="shared" si="6"/>
        <v>2.1345945544137295</v>
      </c>
      <c r="L27" s="8">
        <f t="shared" si="8"/>
        <v>50.000000000000014</v>
      </c>
      <c r="M27" s="8">
        <f t="shared" si="7"/>
        <v>106.7297277206865</v>
      </c>
      <c r="N27" s="8">
        <f t="shared" si="0"/>
        <v>1.067297277206865</v>
      </c>
      <c r="O27" s="8"/>
      <c r="P27" s="8"/>
      <c r="Q27" s="8"/>
      <c r="R27" s="8"/>
      <c r="S27" s="8"/>
    </row>
    <row r="28" spans="1:19" s="5" customFormat="1" ht="13.2" x14ac:dyDescent="0.3">
      <c r="A28" s="6"/>
      <c r="E28" s="5">
        <v>26</v>
      </c>
      <c r="F28" s="5">
        <f t="shared" si="1"/>
        <v>26</v>
      </c>
      <c r="G28" s="8">
        <f t="shared" si="3"/>
        <v>1.8815225977120975</v>
      </c>
      <c r="H28" s="8">
        <f t="shared" si="4"/>
        <v>470.49195828170508</v>
      </c>
      <c r="I28" s="8">
        <f t="shared" si="2"/>
        <v>0</v>
      </c>
      <c r="J28" s="8">
        <f t="shared" si="5"/>
        <v>1000</v>
      </c>
      <c r="K28" s="8">
        <f t="shared" si="6"/>
        <v>2.1254348398474736</v>
      </c>
      <c r="L28" s="8">
        <f t="shared" si="8"/>
        <v>49.999999999999993</v>
      </c>
      <c r="M28" s="8">
        <f t="shared" si="7"/>
        <v>106.27174199237366</v>
      </c>
      <c r="N28" s="8">
        <f t="shared" si="0"/>
        <v>1.0627174199237366</v>
      </c>
      <c r="O28" s="8"/>
      <c r="P28" s="8"/>
      <c r="Q28" s="8"/>
      <c r="R28" s="8"/>
      <c r="S28" s="8"/>
    </row>
    <row r="29" spans="1:19" s="5" customFormat="1" ht="13.2" x14ac:dyDescent="0.3">
      <c r="A29" s="6"/>
      <c r="E29" s="5">
        <v>27</v>
      </c>
      <c r="F29" s="5">
        <f t="shared" si="1"/>
        <v>27</v>
      </c>
      <c r="G29" s="8">
        <f t="shared" si="3"/>
        <v>1.7545345095887166</v>
      </c>
      <c r="H29" s="8">
        <f t="shared" si="4"/>
        <v>472.37348087941717</v>
      </c>
      <c r="I29" s="8">
        <f t="shared" si="2"/>
        <v>0</v>
      </c>
      <c r="J29" s="8">
        <f t="shared" si="5"/>
        <v>1000</v>
      </c>
      <c r="K29" s="8">
        <f t="shared" si="6"/>
        <v>2.1169689673059149</v>
      </c>
      <c r="L29" s="8">
        <f t="shared" si="8"/>
        <v>49.999999999999993</v>
      </c>
      <c r="M29" s="8">
        <f t="shared" si="7"/>
        <v>105.84844836529572</v>
      </c>
      <c r="N29" s="8">
        <f t="shared" si="0"/>
        <v>1.0584844836529572</v>
      </c>
      <c r="O29" s="8"/>
      <c r="P29" s="8"/>
      <c r="Q29" s="8"/>
      <c r="R29" s="8"/>
      <c r="S29" s="8"/>
    </row>
    <row r="30" spans="1:19" s="5" customFormat="1" ht="13.2" x14ac:dyDescent="0.3">
      <c r="A30" s="6"/>
      <c r="E30" s="5">
        <v>28</v>
      </c>
      <c r="F30" s="5">
        <f t="shared" si="1"/>
        <v>28</v>
      </c>
      <c r="G30" s="8">
        <f t="shared" si="3"/>
        <v>1.6370252614012037</v>
      </c>
      <c r="H30" s="8">
        <f t="shared" si="4"/>
        <v>474.1280153890059</v>
      </c>
      <c r="I30" s="8">
        <f t="shared" si="2"/>
        <v>0</v>
      </c>
      <c r="J30" s="8">
        <f t="shared" si="5"/>
        <v>1000</v>
      </c>
      <c r="K30" s="8">
        <f t="shared" si="6"/>
        <v>2.1091350174267474</v>
      </c>
      <c r="L30" s="8">
        <f t="shared" si="8"/>
        <v>49.999999999999993</v>
      </c>
      <c r="M30" s="8">
        <f t="shared" si="7"/>
        <v>105.45675087133735</v>
      </c>
      <c r="N30" s="8">
        <f t="shared" si="0"/>
        <v>1.0545675087133735</v>
      </c>
      <c r="O30" s="8"/>
      <c r="P30" s="8"/>
      <c r="Q30" s="8"/>
      <c r="R30" s="8"/>
      <c r="S30" s="8"/>
    </row>
    <row r="31" spans="1:19" s="5" customFormat="1" ht="13.2" x14ac:dyDescent="0.3">
      <c r="A31" s="6"/>
      <c r="E31" s="5">
        <v>29</v>
      </c>
      <c r="F31" s="5">
        <f t="shared" si="1"/>
        <v>29</v>
      </c>
      <c r="G31" s="8">
        <f t="shared" si="3"/>
        <v>1.5281677264345728</v>
      </c>
      <c r="H31" s="8">
        <f t="shared" si="4"/>
        <v>475.76504065040712</v>
      </c>
      <c r="I31" s="8">
        <f t="shared" si="2"/>
        <v>0</v>
      </c>
      <c r="J31" s="8">
        <f t="shared" si="5"/>
        <v>1000</v>
      </c>
      <c r="K31" s="8">
        <f t="shared" si="6"/>
        <v>2.101877848428972</v>
      </c>
      <c r="L31" s="8">
        <f t="shared" si="8"/>
        <v>49.999999999999993</v>
      </c>
      <c r="M31" s="8">
        <f t="shared" si="7"/>
        <v>105.09389242144859</v>
      </c>
      <c r="N31" s="8">
        <f t="shared" si="0"/>
        <v>1.0509389242144858</v>
      </c>
      <c r="O31" s="8"/>
      <c r="P31" s="8"/>
      <c r="Q31" s="8"/>
      <c r="R31" s="8"/>
      <c r="S31" s="8"/>
    </row>
    <row r="32" spans="1:19" s="5" customFormat="1" ht="13.2" x14ac:dyDescent="0.3">
      <c r="A32" s="6"/>
      <c r="E32" s="5">
        <v>30</v>
      </c>
      <c r="F32" s="5">
        <f t="shared" si="1"/>
        <v>30</v>
      </c>
      <c r="G32" s="8">
        <f t="shared" si="3"/>
        <v>1.4272227987726005</v>
      </c>
      <c r="H32" s="8">
        <f t="shared" si="4"/>
        <v>477.29320837684168</v>
      </c>
      <c r="I32" s="8">
        <f t="shared" si="2"/>
        <v>0</v>
      </c>
      <c r="J32" s="8">
        <f t="shared" si="5"/>
        <v>1000</v>
      </c>
      <c r="K32" s="8">
        <f t="shared" si="6"/>
        <v>2.09514818658484</v>
      </c>
      <c r="L32" s="8">
        <f t="shared" si="8"/>
        <v>50</v>
      </c>
      <c r="M32" s="8">
        <f t="shared" si="7"/>
        <v>104.75740932924199</v>
      </c>
      <c r="N32" s="8">
        <f t="shared" si="0"/>
        <v>1.04757409329242</v>
      </c>
      <c r="O32" s="8"/>
      <c r="P32" s="8"/>
      <c r="Q32" s="8"/>
      <c r="R32" s="8"/>
      <c r="S32" s="8"/>
    </row>
    <row r="33" spans="1:19" s="5" customFormat="1" ht="13.2" x14ac:dyDescent="0.3">
      <c r="A33" s="6"/>
      <c r="E33" s="5">
        <v>31</v>
      </c>
      <c r="F33" s="5">
        <f t="shared" si="1"/>
        <v>31</v>
      </c>
      <c r="G33" s="8">
        <f t="shared" si="3"/>
        <v>1.3335279281142376</v>
      </c>
      <c r="H33" s="8">
        <f t="shared" si="4"/>
        <v>478.72043117561429</v>
      </c>
      <c r="I33" s="8">
        <f t="shared" si="2"/>
        <v>0</v>
      </c>
      <c r="J33" s="8">
        <f t="shared" si="5"/>
        <v>1000</v>
      </c>
      <c r="K33" s="8">
        <f t="shared" si="6"/>
        <v>2.0889018618742825</v>
      </c>
      <c r="L33" s="8">
        <f t="shared" si="8"/>
        <v>50</v>
      </c>
      <c r="M33" s="8">
        <f t="shared" si="7"/>
        <v>104.44509309371412</v>
      </c>
      <c r="N33" s="8">
        <f t="shared" si="0"/>
        <v>1.0444509309371413</v>
      </c>
      <c r="O33" s="8"/>
      <c r="P33" s="8"/>
      <c r="Q33" s="8"/>
      <c r="R33" s="8"/>
      <c r="S33" s="8"/>
    </row>
    <row r="34" spans="1:19" s="5" customFormat="1" ht="13.2" x14ac:dyDescent="0.3">
      <c r="A34" s="6"/>
      <c r="E34" s="5">
        <v>32</v>
      </c>
      <c r="F34" s="5">
        <f t="shared" si="1"/>
        <v>32</v>
      </c>
      <c r="G34" s="8">
        <f t="shared" si="3"/>
        <v>1.2464874323822595</v>
      </c>
      <c r="H34" s="8">
        <f t="shared" si="4"/>
        <v>480.05395910372852</v>
      </c>
      <c r="I34" s="8">
        <f t="shared" si="2"/>
        <v>0</v>
      </c>
      <c r="J34" s="8">
        <f t="shared" si="5"/>
        <v>1000</v>
      </c>
      <c r="K34" s="8">
        <f t="shared" si="6"/>
        <v>2.0830991621588173</v>
      </c>
      <c r="L34" s="8">
        <f t="shared" si="8"/>
        <v>50</v>
      </c>
      <c r="M34" s="8">
        <f t="shared" si="7"/>
        <v>104.15495810794087</v>
      </c>
      <c r="N34" s="8">
        <f t="shared" si="0"/>
        <v>1.0415495810794086</v>
      </c>
      <c r="O34" s="8"/>
      <c r="P34" s="8"/>
      <c r="Q34" s="8"/>
      <c r="R34" s="8"/>
      <c r="S34" s="8"/>
    </row>
    <row r="35" spans="1:19" s="5" customFormat="1" ht="13.2" x14ac:dyDescent="0.3">
      <c r="A35" s="6"/>
      <c r="E35" s="5">
        <v>33</v>
      </c>
      <c r="F35" s="5">
        <f t="shared" si="1"/>
        <v>33</v>
      </c>
      <c r="G35" s="8">
        <f t="shared" si="3"/>
        <v>1.1655642706215263</v>
      </c>
      <c r="H35" s="8">
        <f t="shared" si="4"/>
        <v>481.30044653611077</v>
      </c>
      <c r="I35" s="8">
        <f t="shared" si="2"/>
        <v>0</v>
      </c>
      <c r="J35" s="8">
        <f t="shared" si="5"/>
        <v>1000</v>
      </c>
      <c r="K35" s="8">
        <f t="shared" si="6"/>
        <v>2.0777042847081018</v>
      </c>
      <c r="L35" s="8">
        <f t="shared" si="8"/>
        <v>50</v>
      </c>
      <c r="M35" s="8">
        <f t="shared" si="7"/>
        <v>103.88521423540509</v>
      </c>
      <c r="N35" s="8">
        <f t="shared" si="0"/>
        <v>1.0388521423540509</v>
      </c>
      <c r="O35" s="8"/>
      <c r="P35" s="8"/>
      <c r="Q35" s="8"/>
      <c r="R35" s="8"/>
      <c r="S35" s="8"/>
    </row>
    <row r="36" spans="1:19" s="5" customFormat="1" ht="13.2" x14ac:dyDescent="0.3">
      <c r="A36" s="6"/>
      <c r="E36" s="5">
        <v>34</v>
      </c>
      <c r="F36" s="5">
        <f t="shared" si="1"/>
        <v>34</v>
      </c>
      <c r="G36" s="8">
        <f t="shared" si="3"/>
        <v>1.090273022380317</v>
      </c>
      <c r="H36" s="8">
        <f t="shared" si="4"/>
        <v>482.4660108067323</v>
      </c>
      <c r="I36" s="8">
        <f t="shared" si="2"/>
        <v>0</v>
      </c>
      <c r="J36" s="8">
        <f t="shared" si="5"/>
        <v>1000</v>
      </c>
      <c r="K36" s="8">
        <f t="shared" si="6"/>
        <v>2.0726848681586878</v>
      </c>
      <c r="L36" s="8">
        <f t="shared" si="8"/>
        <v>50</v>
      </c>
      <c r="M36" s="8">
        <f t="shared" si="7"/>
        <v>103.63424340793439</v>
      </c>
      <c r="N36" s="8">
        <f t="shared" si="0"/>
        <v>1.0363424340793439</v>
      </c>
      <c r="O36" s="8"/>
      <c r="P36" s="8"/>
      <c r="Q36" s="8"/>
      <c r="R36" s="8"/>
      <c r="S36" s="8"/>
    </row>
    <row r="37" spans="1:19" s="5" customFormat="1" ht="13.2" x14ac:dyDescent="0.3">
      <c r="A37" s="6"/>
      <c r="E37" s="5">
        <v>35</v>
      </c>
      <c r="F37" s="5">
        <f t="shared" si="1"/>
        <v>35</v>
      </c>
      <c r="G37" s="8">
        <f t="shared" si="3"/>
        <v>1.0201738693586249</v>
      </c>
      <c r="H37" s="8">
        <f t="shared" si="4"/>
        <v>483.5562838291126</v>
      </c>
      <c r="I37" s="8">
        <f t="shared" si="2"/>
        <v>0</v>
      </c>
      <c r="J37" s="8">
        <f t="shared" si="5"/>
        <v>1000</v>
      </c>
      <c r="K37" s="8">
        <f t="shared" si="6"/>
        <v>2.068011591290575</v>
      </c>
      <c r="L37" s="8">
        <f t="shared" si="8"/>
        <v>49.999999999999993</v>
      </c>
      <c r="M37" s="8">
        <f t="shared" si="7"/>
        <v>103.40057956452874</v>
      </c>
      <c r="N37" s="8">
        <f t="shared" si="0"/>
        <v>1.0340057956452875</v>
      </c>
      <c r="O37" s="8"/>
      <c r="P37" s="8"/>
      <c r="Q37" s="8"/>
      <c r="R37" s="8"/>
      <c r="S37" s="8"/>
    </row>
    <row r="38" spans="1:19" s="5" customFormat="1" ht="13.2" x14ac:dyDescent="0.3">
      <c r="A38" s="6"/>
      <c r="E38" s="5">
        <v>36</v>
      </c>
      <c r="F38" s="5">
        <f t="shared" si="1"/>
        <v>36</v>
      </c>
      <c r="G38" s="8">
        <f t="shared" si="3"/>
        <v>0.95486741399596564</v>
      </c>
      <c r="H38" s="8">
        <f t="shared" si="4"/>
        <v>484.57645769847124</v>
      </c>
      <c r="I38" s="8">
        <f t="shared" si="2"/>
        <v>0</v>
      </c>
      <c r="J38" s="8">
        <f t="shared" si="5"/>
        <v>1000</v>
      </c>
      <c r="K38" s="8">
        <f t="shared" si="6"/>
        <v>2.0636578275997306</v>
      </c>
      <c r="L38" s="8">
        <f t="shared" si="8"/>
        <v>50.000000000000014</v>
      </c>
      <c r="M38" s="8">
        <f t="shared" si="7"/>
        <v>103.18289137998656</v>
      </c>
      <c r="N38" s="8">
        <f t="shared" si="0"/>
        <v>1.0318289137998655</v>
      </c>
      <c r="O38" s="8"/>
      <c r="P38" s="8"/>
      <c r="Q38" s="8"/>
      <c r="R38" s="8"/>
      <c r="S38" s="8"/>
    </row>
    <row r="39" spans="1:19" s="5" customFormat="1" ht="13.2" x14ac:dyDescent="0.3">
      <c r="A39" s="6"/>
      <c r="E39" s="5">
        <v>37</v>
      </c>
      <c r="F39" s="5">
        <f t="shared" si="1"/>
        <v>37</v>
      </c>
      <c r="G39" s="8">
        <f t="shared" si="3"/>
        <v>0.89399020037572274</v>
      </c>
      <c r="H39" s="8">
        <f t="shared" si="4"/>
        <v>485.53132511246719</v>
      </c>
      <c r="I39" s="8">
        <f t="shared" si="2"/>
        <v>0</v>
      </c>
      <c r="J39" s="8">
        <f t="shared" si="5"/>
        <v>1000</v>
      </c>
      <c r="K39" s="8">
        <f t="shared" si="6"/>
        <v>2.0595993466917148</v>
      </c>
      <c r="L39" s="8">
        <f t="shared" si="8"/>
        <v>50</v>
      </c>
      <c r="M39" s="8">
        <f t="shared" si="7"/>
        <v>102.97996733458574</v>
      </c>
      <c r="N39" s="8">
        <f t="shared" si="0"/>
        <v>1.0297996733458574</v>
      </c>
      <c r="O39" s="8"/>
      <c r="P39" s="8"/>
      <c r="Q39" s="8"/>
      <c r="R39" s="8"/>
      <c r="S39" s="8"/>
    </row>
    <row r="40" spans="1:19" s="5" customFormat="1" ht="13.2" x14ac:dyDescent="0.3">
      <c r="A40" s="6"/>
      <c r="E40" s="5">
        <v>38</v>
      </c>
      <c r="F40" s="5">
        <f t="shared" si="1"/>
        <v>38</v>
      </c>
      <c r="G40" s="8">
        <f t="shared" si="3"/>
        <v>0.83721082722184814</v>
      </c>
      <c r="H40" s="8">
        <f t="shared" si="4"/>
        <v>486.42531531284288</v>
      </c>
      <c r="I40" s="8">
        <f t="shared" si="2"/>
        <v>0</v>
      </c>
      <c r="J40" s="8">
        <f t="shared" si="5"/>
        <v>1000</v>
      </c>
      <c r="K40" s="8">
        <f t="shared" si="6"/>
        <v>2.0558140551481232</v>
      </c>
      <c r="L40" s="8">
        <f t="shared" si="8"/>
        <v>50</v>
      </c>
      <c r="M40" s="8">
        <f t="shared" si="7"/>
        <v>102.79070275740617</v>
      </c>
      <c r="N40" s="8">
        <f t="shared" si="0"/>
        <v>1.0279070275740616</v>
      </c>
      <c r="O40" s="8"/>
      <c r="P40" s="8"/>
      <c r="Q40" s="8"/>
      <c r="R40" s="8"/>
      <c r="S40" s="8"/>
    </row>
    <row r="41" spans="1:19" s="5" customFormat="1" ht="13.2" x14ac:dyDescent="0.3">
      <c r="A41" s="6"/>
      <c r="E41" s="5">
        <v>39</v>
      </c>
      <c r="F41" s="5">
        <f t="shared" si="1"/>
        <v>39</v>
      </c>
      <c r="G41" s="8">
        <f t="shared" si="3"/>
        <v>0.78422656227049137</v>
      </c>
      <c r="H41" s="8">
        <f t="shared" si="4"/>
        <v>487.26252614006472</v>
      </c>
      <c r="I41" s="8">
        <f t="shared" si="2"/>
        <v>0</v>
      </c>
      <c r="J41" s="8">
        <f t="shared" si="5"/>
        <v>1000</v>
      </c>
      <c r="K41" s="8">
        <f t="shared" si="6"/>
        <v>2.0522817708180328</v>
      </c>
      <c r="L41" s="8">
        <f t="shared" si="8"/>
        <v>50</v>
      </c>
      <c r="M41" s="8">
        <f t="shared" si="7"/>
        <v>102.61408854090163</v>
      </c>
      <c r="N41" s="8">
        <f t="shared" si="0"/>
        <v>1.0261408854090164</v>
      </c>
      <c r="O41" s="8"/>
      <c r="P41" s="8"/>
      <c r="Q41" s="8"/>
      <c r="R41" s="8"/>
      <c r="S41" s="8"/>
    </row>
    <row r="42" spans="1:19" s="5" customFormat="1" ht="13.2" x14ac:dyDescent="0.3">
      <c r="A42" s="6"/>
      <c r="E42" s="5">
        <v>40</v>
      </c>
      <c r="F42" s="5">
        <f t="shared" si="1"/>
        <v>40</v>
      </c>
      <c r="G42" s="8">
        <f t="shared" si="3"/>
        <v>0.73476038298456947</v>
      </c>
      <c r="H42" s="8">
        <f t="shared" si="4"/>
        <v>488.0467527023352</v>
      </c>
      <c r="I42" s="8">
        <f t="shared" si="2"/>
        <v>0</v>
      </c>
      <c r="J42" s="8">
        <f t="shared" si="5"/>
        <v>1000</v>
      </c>
      <c r="K42" s="8">
        <f t="shared" si="6"/>
        <v>2.0489840255323046</v>
      </c>
      <c r="L42" s="8">
        <f t="shared" si="8"/>
        <v>50</v>
      </c>
      <c r="M42" s="8">
        <f t="shared" si="7"/>
        <v>102.44920127661523</v>
      </c>
      <c r="N42" s="8">
        <f t="shared" si="0"/>
        <v>1.0244920127661523</v>
      </c>
      <c r="O42" s="8"/>
      <c r="P42" s="8"/>
      <c r="Q42" s="8"/>
      <c r="R42" s="8"/>
      <c r="S42" s="8"/>
    </row>
    <row r="43" spans="1:19" s="5" customFormat="1" ht="13.2" x14ac:dyDescent="0.3">
      <c r="A43" s="6"/>
      <c r="E43" s="5">
        <v>41</v>
      </c>
      <c r="F43" s="5">
        <f t="shared" si="1"/>
        <v>41</v>
      </c>
      <c r="G43" s="8">
        <f t="shared" si="3"/>
        <v>0.68855838126115954</v>
      </c>
      <c r="H43" s="8">
        <f t="shared" si="4"/>
        <v>488.78151308531977</v>
      </c>
      <c r="I43" s="8">
        <f t="shared" si="2"/>
        <v>0</v>
      </c>
      <c r="J43" s="8">
        <f t="shared" si="5"/>
        <v>1000</v>
      </c>
      <c r="K43" s="8">
        <f t="shared" si="6"/>
        <v>2.0459038920840773</v>
      </c>
      <c r="L43" s="8">
        <f t="shared" si="8"/>
        <v>49.999999999999993</v>
      </c>
      <c r="M43" s="8">
        <f t="shared" si="7"/>
        <v>102.29519460420386</v>
      </c>
      <c r="N43" s="8">
        <f t="shared" si="0"/>
        <v>1.0229519460420387</v>
      </c>
      <c r="O43" s="8"/>
      <c r="P43" s="8"/>
      <c r="Q43" s="8"/>
      <c r="R43" s="8"/>
      <c r="S43" s="8"/>
    </row>
    <row r="44" spans="1:19" s="5" customFormat="1" ht="13.2" x14ac:dyDescent="0.3">
      <c r="A44" s="6"/>
      <c r="E44" s="5">
        <v>42</v>
      </c>
      <c r="F44" s="5">
        <f t="shared" si="1"/>
        <v>42</v>
      </c>
      <c r="G44" s="8">
        <f t="shared" si="3"/>
        <v>0.6453874800885373</v>
      </c>
      <c r="H44" s="8">
        <f t="shared" si="4"/>
        <v>489.47007146658092</v>
      </c>
      <c r="I44" s="8">
        <f t="shared" si="2"/>
        <v>0</v>
      </c>
      <c r="J44" s="8">
        <f t="shared" si="5"/>
        <v>1000</v>
      </c>
      <c r="K44" s="8">
        <f t="shared" si="6"/>
        <v>2.0430258320059025</v>
      </c>
      <c r="L44" s="8">
        <f t="shared" si="8"/>
        <v>50</v>
      </c>
      <c r="M44" s="8">
        <f t="shared" si="7"/>
        <v>102.15129160029512</v>
      </c>
      <c r="N44" s="8">
        <f t="shared" si="0"/>
        <v>1.0215129160029512</v>
      </c>
      <c r="O44" s="8"/>
      <c r="P44" s="8"/>
      <c r="Q44" s="8"/>
      <c r="R44" s="8"/>
      <c r="S44" s="8"/>
    </row>
    <row r="45" spans="1:19" s="5" customFormat="1" ht="13.2" x14ac:dyDescent="0.3">
      <c r="A45" s="6"/>
      <c r="E45" s="5">
        <v>43</v>
      </c>
      <c r="F45" s="5">
        <f t="shared" si="1"/>
        <v>43</v>
      </c>
      <c r="G45" s="8">
        <f t="shared" si="3"/>
        <v>0.60503341852799153</v>
      </c>
      <c r="H45" s="8">
        <f t="shared" si="4"/>
        <v>490.11545894666943</v>
      </c>
      <c r="I45" s="8">
        <f t="shared" si="2"/>
        <v>0</v>
      </c>
      <c r="J45" s="8">
        <f t="shared" si="5"/>
        <v>1000</v>
      </c>
      <c r="K45" s="8">
        <f t="shared" si="6"/>
        <v>2.040335561235199</v>
      </c>
      <c r="L45" s="8">
        <f t="shared" si="8"/>
        <v>50.000000000000014</v>
      </c>
      <c r="M45" s="8">
        <f t="shared" si="7"/>
        <v>102.01677806175998</v>
      </c>
      <c r="N45" s="8">
        <f t="shared" si="0"/>
        <v>1.0201677806175997</v>
      </c>
      <c r="O45" s="8"/>
      <c r="P45" s="8"/>
      <c r="Q45" s="8"/>
      <c r="R45" s="8"/>
      <c r="S45" s="8"/>
    </row>
    <row r="46" spans="1:19" s="5" customFormat="1" ht="13.2" x14ac:dyDescent="0.3">
      <c r="A46" s="6"/>
      <c r="E46" s="5">
        <v>44</v>
      </c>
      <c r="F46" s="5">
        <f t="shared" si="1"/>
        <v>44</v>
      </c>
      <c r="G46" s="8">
        <f t="shared" si="3"/>
        <v>0.56729896830332471</v>
      </c>
      <c r="H46" s="8">
        <f t="shared" si="4"/>
        <v>490.7204923651974</v>
      </c>
      <c r="I46" s="8">
        <f t="shared" si="2"/>
        <v>0</v>
      </c>
      <c r="J46" s="8">
        <f t="shared" si="5"/>
        <v>1000</v>
      </c>
      <c r="K46" s="8">
        <f t="shared" si="6"/>
        <v>2.0378199312202221</v>
      </c>
      <c r="L46" s="8">
        <f t="shared" si="8"/>
        <v>49.999999999999993</v>
      </c>
      <c r="M46" s="8">
        <f t="shared" si="7"/>
        <v>101.89099656101109</v>
      </c>
      <c r="N46" s="8">
        <f t="shared" si="0"/>
        <v>1.0189099656101108</v>
      </c>
      <c r="O46" s="8"/>
      <c r="P46" s="8"/>
      <c r="Q46" s="8"/>
      <c r="R46" s="8"/>
      <c r="S46" s="8"/>
    </row>
    <row r="47" spans="1:19" s="5" customFormat="1" ht="13.2" x14ac:dyDescent="0.3">
      <c r="A47" s="6"/>
      <c r="E47" s="5">
        <v>45</v>
      </c>
      <c r="F47" s="5">
        <f t="shared" si="1"/>
        <v>45</v>
      </c>
      <c r="G47" s="8">
        <f t="shared" si="3"/>
        <v>0.53200235097549564</v>
      </c>
      <c r="H47" s="8">
        <f t="shared" si="4"/>
        <v>491.28779133350071</v>
      </c>
      <c r="I47" s="8">
        <f t="shared" si="2"/>
        <v>0</v>
      </c>
      <c r="J47" s="8">
        <f t="shared" si="5"/>
        <v>1000</v>
      </c>
      <c r="K47" s="8">
        <f t="shared" si="6"/>
        <v>2.0354668233983659</v>
      </c>
      <c r="L47" s="8">
        <f t="shared" si="8"/>
        <v>50.000000000000014</v>
      </c>
      <c r="M47" s="8">
        <f t="shared" si="7"/>
        <v>101.77334116991833</v>
      </c>
      <c r="N47" s="8">
        <f t="shared" si="0"/>
        <v>1.0177334116991832</v>
      </c>
      <c r="O47" s="8"/>
      <c r="P47" s="8"/>
      <c r="Q47" s="8"/>
      <c r="R47" s="8"/>
      <c r="S47" s="8"/>
    </row>
    <row r="48" spans="1:19" s="5" customFormat="1" ht="13.2" x14ac:dyDescent="0.3">
      <c r="A48" s="6"/>
      <c r="E48" s="5">
        <v>46</v>
      </c>
      <c r="F48" s="5">
        <f t="shared" si="1"/>
        <v>46</v>
      </c>
      <c r="G48" s="8">
        <f t="shared" si="3"/>
        <v>0.49897582939322227</v>
      </c>
      <c r="H48" s="8">
        <f t="shared" si="4"/>
        <v>491.81979368447622</v>
      </c>
      <c r="I48" s="8">
        <f t="shared" si="2"/>
        <v>0</v>
      </c>
      <c r="J48" s="8">
        <f t="shared" si="5"/>
        <v>1000</v>
      </c>
      <c r="K48" s="8">
        <f t="shared" si="6"/>
        <v>2.033265055292881</v>
      </c>
      <c r="L48" s="8">
        <f t="shared" si="8"/>
        <v>50.000000000000014</v>
      </c>
      <c r="M48" s="8">
        <f t="shared" si="7"/>
        <v>101.66325276464408</v>
      </c>
      <c r="N48" s="8">
        <f t="shared" si="0"/>
        <v>1.0166325276464407</v>
      </c>
      <c r="O48" s="8"/>
      <c r="P48" s="8"/>
      <c r="Q48" s="8"/>
      <c r="R48" s="8"/>
      <c r="S48" s="8"/>
    </row>
    <row r="49" spans="1:19" s="5" customFormat="1" ht="13.2" x14ac:dyDescent="0.3">
      <c r="A49" s="6"/>
      <c r="E49" s="5">
        <v>47</v>
      </c>
      <c r="F49" s="5">
        <f t="shared" si="1"/>
        <v>47</v>
      </c>
      <c r="G49" s="8">
        <f t="shared" si="3"/>
        <v>0.4680644510292753</v>
      </c>
      <c r="H49" s="8">
        <f t="shared" si="4"/>
        <v>492.31876951386943</v>
      </c>
      <c r="I49" s="8">
        <f t="shared" si="2"/>
        <v>0</v>
      </c>
      <c r="J49" s="8">
        <f t="shared" si="5"/>
        <v>1000</v>
      </c>
      <c r="K49" s="8">
        <f t="shared" si="6"/>
        <v>2.031204296735285</v>
      </c>
      <c r="L49" s="8">
        <f t="shared" si="8"/>
        <v>50</v>
      </c>
      <c r="M49" s="8">
        <f t="shared" si="7"/>
        <v>101.56021483676425</v>
      </c>
      <c r="N49" s="8">
        <f t="shared" si="0"/>
        <v>1.0156021483676425</v>
      </c>
      <c r="O49" s="8"/>
      <c r="P49" s="8"/>
      <c r="Q49" s="8"/>
      <c r="R49" s="8"/>
      <c r="S49" s="8"/>
    </row>
    <row r="50" spans="1:19" s="5" customFormat="1" ht="13.2" x14ac:dyDescent="0.3">
      <c r="A50" s="6"/>
      <c r="E50" s="5">
        <v>48</v>
      </c>
      <c r="F50" s="5">
        <f t="shared" si="1"/>
        <v>48</v>
      </c>
      <c r="G50" s="8">
        <f t="shared" si="3"/>
        <v>0.43912492408117787</v>
      </c>
      <c r="H50" s="8">
        <f t="shared" si="4"/>
        <v>492.78683396489868</v>
      </c>
      <c r="I50" s="8">
        <f t="shared" si="2"/>
        <v>0</v>
      </c>
      <c r="J50" s="8">
        <f t="shared" si="5"/>
        <v>1000</v>
      </c>
      <c r="K50" s="8">
        <f t="shared" si="6"/>
        <v>2.0292749949387452</v>
      </c>
      <c r="L50" s="8">
        <f t="shared" si="8"/>
        <v>50</v>
      </c>
      <c r="M50" s="8">
        <f t="shared" si="7"/>
        <v>101.46374974693725</v>
      </c>
      <c r="N50" s="8">
        <f t="shared" si="0"/>
        <v>1.0146374974693726</v>
      </c>
      <c r="O50" s="8"/>
      <c r="P50" s="8"/>
      <c r="Q50" s="8"/>
      <c r="R50" s="8"/>
      <c r="S50" s="8"/>
    </row>
    <row r="51" spans="1:19" s="5" customFormat="1" ht="13.2" x14ac:dyDescent="0.3">
      <c r="A51" s="6"/>
      <c r="E51" s="5">
        <v>49</v>
      </c>
      <c r="F51" s="5">
        <f t="shared" si="1"/>
        <v>49</v>
      </c>
      <c r="G51" s="8">
        <f t="shared" si="3"/>
        <v>0.41202460995437562</v>
      </c>
      <c r="H51" s="8">
        <f t="shared" si="4"/>
        <v>493.22595888897985</v>
      </c>
      <c r="I51" s="8">
        <f t="shared" si="2"/>
        <v>0</v>
      </c>
      <c r="J51" s="8">
        <f t="shared" si="5"/>
        <v>1000</v>
      </c>
      <c r="K51" s="8">
        <f t="shared" si="6"/>
        <v>2.0274683073302917</v>
      </c>
      <c r="L51" s="8">
        <f t="shared" si="8"/>
        <v>50</v>
      </c>
      <c r="M51" s="8">
        <f t="shared" si="7"/>
        <v>101.37341536651459</v>
      </c>
      <c r="N51" s="8">
        <f t="shared" si="0"/>
        <v>1.0137341536651459</v>
      </c>
      <c r="O51" s="8"/>
      <c r="P51" s="8"/>
      <c r="Q51" s="8"/>
      <c r="R51" s="8"/>
      <c r="S51" s="8"/>
    </row>
    <row r="52" spans="1:19" s="5" customFormat="1" ht="13.2" x14ac:dyDescent="0.3">
      <c r="A52" s="6"/>
      <c r="E52" s="5">
        <v>50</v>
      </c>
      <c r="F52" s="5">
        <f t="shared" si="1"/>
        <v>50</v>
      </c>
      <c r="G52" s="8">
        <f t="shared" si="3"/>
        <v>0.38664061804795313</v>
      </c>
      <c r="H52" s="8">
        <f t="shared" si="4"/>
        <v>493.6379834989342</v>
      </c>
      <c r="I52" s="8">
        <f t="shared" si="2"/>
        <v>0</v>
      </c>
      <c r="J52" s="8">
        <f t="shared" si="5"/>
        <v>1000</v>
      </c>
      <c r="K52" s="8">
        <f t="shared" si="6"/>
        <v>2.0257760412031969</v>
      </c>
      <c r="L52" s="8">
        <f t="shared" si="8"/>
        <v>50</v>
      </c>
      <c r="M52" s="8">
        <f t="shared" si="7"/>
        <v>101.28880206015984</v>
      </c>
      <c r="N52" s="8">
        <f t="shared" si="0"/>
        <v>1.0128880206015984</v>
      </c>
      <c r="O52" s="8"/>
      <c r="P52" s="8"/>
      <c r="Q52" s="8"/>
      <c r="R52" s="8"/>
      <c r="S52" s="8"/>
    </row>
    <row r="53" spans="1:19" s="5" customFormat="1" ht="13.2" x14ac:dyDescent="0.3">
      <c r="A53" s="6"/>
      <c r="E53" s="5">
        <v>51</v>
      </c>
      <c r="F53" s="5">
        <f t="shared" si="1"/>
        <v>51</v>
      </c>
      <c r="G53" s="8">
        <f t="shared" si="3"/>
        <v>0.36285899070505945</v>
      </c>
      <c r="H53" s="8">
        <f t="shared" si="4"/>
        <v>494.02462411698218</v>
      </c>
      <c r="I53" s="8">
        <f t="shared" si="2"/>
        <v>0</v>
      </c>
      <c r="J53" s="8">
        <f t="shared" si="5"/>
        <v>1000</v>
      </c>
      <c r="K53" s="8">
        <f t="shared" si="6"/>
        <v>2.0241905993803373</v>
      </c>
      <c r="L53" s="8">
        <f t="shared" si="8"/>
        <v>50</v>
      </c>
      <c r="M53" s="8">
        <f t="shared" si="7"/>
        <v>101.20952996901687</v>
      </c>
      <c r="N53" s="8">
        <f t="shared" si="0"/>
        <v>1.0120952996901686</v>
      </c>
      <c r="O53" s="8"/>
      <c r="P53" s="8"/>
      <c r="Q53" s="8"/>
      <c r="R53" s="8"/>
      <c r="S53" s="8"/>
    </row>
    <row r="54" spans="1:19" s="5" customFormat="1" ht="13.2" x14ac:dyDescent="0.3">
      <c r="A54" s="6"/>
      <c r="E54" s="5">
        <v>52</v>
      </c>
      <c r="F54" s="5">
        <f t="shared" si="1"/>
        <v>52</v>
      </c>
      <c r="G54" s="8">
        <f t="shared" si="3"/>
        <v>0.34057396783387039</v>
      </c>
      <c r="H54" s="8">
        <f t="shared" si="4"/>
        <v>494.38748310768722</v>
      </c>
      <c r="I54" s="8">
        <f t="shared" si="2"/>
        <v>0</v>
      </c>
      <c r="J54" s="8">
        <f t="shared" si="5"/>
        <v>1000</v>
      </c>
      <c r="K54" s="8">
        <f t="shared" si="6"/>
        <v>2.0227049311889242</v>
      </c>
      <c r="L54" s="8">
        <f t="shared" si="8"/>
        <v>50.000000000000014</v>
      </c>
      <c r="M54" s="8">
        <f t="shared" si="7"/>
        <v>101.13524655944624</v>
      </c>
      <c r="N54" s="8">
        <f t="shared" si="0"/>
        <v>1.0113524655944623</v>
      </c>
      <c r="O54" s="8"/>
      <c r="P54" s="8"/>
      <c r="Q54" s="8"/>
      <c r="R54" s="8"/>
      <c r="S54" s="8"/>
    </row>
    <row r="55" spans="1:19" s="5" customFormat="1" ht="13.2" x14ac:dyDescent="0.3">
      <c r="A55" s="6"/>
      <c r="E55" s="5">
        <v>53</v>
      </c>
      <c r="F55" s="5">
        <f t="shared" si="1"/>
        <v>53</v>
      </c>
      <c r="G55" s="8">
        <f t="shared" si="3"/>
        <v>0.31968732210031936</v>
      </c>
      <c r="H55" s="8">
        <f t="shared" si="4"/>
        <v>494.72805707552106</v>
      </c>
      <c r="I55" s="8">
        <f t="shared" si="2"/>
        <v>0</v>
      </c>
      <c r="J55" s="8">
        <f t="shared" si="5"/>
        <v>1000</v>
      </c>
      <c r="K55" s="8">
        <f t="shared" si="6"/>
        <v>2.0213124881400213</v>
      </c>
      <c r="L55" s="8">
        <f t="shared" si="8"/>
        <v>50</v>
      </c>
      <c r="M55" s="8">
        <f t="shared" si="7"/>
        <v>101.06562440700107</v>
      </c>
      <c r="N55" s="8">
        <f t="shared" si="0"/>
        <v>1.0106562440700106</v>
      </c>
      <c r="O55" s="8"/>
      <c r="P55" s="8"/>
      <c r="Q55" s="8"/>
      <c r="R55" s="8"/>
      <c r="S55" s="8"/>
    </row>
    <row r="56" spans="1:19" s="5" customFormat="1" ht="13.2" x14ac:dyDescent="0.3">
      <c r="A56" s="6"/>
      <c r="E56" s="5">
        <v>54</v>
      </c>
      <c r="F56" s="5">
        <f t="shared" si="1"/>
        <v>54</v>
      </c>
      <c r="G56" s="8">
        <f t="shared" si="3"/>
        <v>0.30010775678240398</v>
      </c>
      <c r="H56" s="8">
        <f t="shared" si="4"/>
        <v>495.04774439762139</v>
      </c>
      <c r="I56" s="8">
        <f t="shared" si="2"/>
        <v>0</v>
      </c>
      <c r="J56" s="8">
        <f t="shared" si="5"/>
        <v>1000</v>
      </c>
      <c r="K56" s="8">
        <f t="shared" si="6"/>
        <v>2.0200071837854936</v>
      </c>
      <c r="L56" s="8">
        <f t="shared" si="8"/>
        <v>50</v>
      </c>
      <c r="M56" s="8">
        <f t="shared" si="7"/>
        <v>101.00035918927468</v>
      </c>
      <c r="N56" s="8">
        <f t="shared" si="0"/>
        <v>1.0100035918927468</v>
      </c>
      <c r="O56" s="8"/>
      <c r="P56" s="8"/>
      <c r="Q56" s="8"/>
      <c r="R56" s="8"/>
      <c r="S56" s="8"/>
    </row>
    <row r="57" spans="1:19" s="5" customFormat="1" ht="13.2" x14ac:dyDescent="0.3">
      <c r="A57" s="6"/>
      <c r="E57" s="5">
        <v>55</v>
      </c>
      <c r="F57" s="5">
        <f t="shared" si="1"/>
        <v>55</v>
      </c>
      <c r="G57" s="8">
        <f t="shared" si="3"/>
        <v>0.28175035939064452</v>
      </c>
      <c r="H57" s="8">
        <f t="shared" si="4"/>
        <v>495.34785215440377</v>
      </c>
      <c r="I57" s="8">
        <f t="shared" si="2"/>
        <v>0</v>
      </c>
      <c r="J57" s="8">
        <f t="shared" si="5"/>
        <v>1000</v>
      </c>
      <c r="K57" s="8">
        <f t="shared" si="6"/>
        <v>2.0187833572927096</v>
      </c>
      <c r="L57" s="8">
        <f t="shared" si="8"/>
        <v>50</v>
      </c>
      <c r="M57" s="8">
        <f t="shared" si="7"/>
        <v>100.93916786463548</v>
      </c>
      <c r="N57" s="8">
        <f t="shared" si="0"/>
        <v>1.0093916786463548</v>
      </c>
      <c r="O57" s="8"/>
      <c r="P57" s="8"/>
      <c r="Q57" s="8"/>
      <c r="R57" s="8"/>
      <c r="S57" s="8"/>
    </row>
    <row r="58" spans="1:19" s="5" customFormat="1" ht="13.2" x14ac:dyDescent="0.3">
      <c r="A58" s="6"/>
      <c r="E58" s="5">
        <v>56</v>
      </c>
      <c r="F58" s="5">
        <f t="shared" si="1"/>
        <v>56</v>
      </c>
      <c r="G58" s="8">
        <f t="shared" si="3"/>
        <v>0.26453610502920055</v>
      </c>
      <c r="H58" s="8">
        <f t="shared" si="4"/>
        <v>495.6296025137944</v>
      </c>
      <c r="I58" s="8">
        <f t="shared" si="2"/>
        <v>0</v>
      </c>
      <c r="J58" s="8">
        <f t="shared" si="5"/>
        <v>1000</v>
      </c>
      <c r="K58" s="8">
        <f t="shared" si="6"/>
        <v>2.0176357403352796</v>
      </c>
      <c r="L58" s="8">
        <f t="shared" si="8"/>
        <v>50.000000000000014</v>
      </c>
      <c r="M58" s="8">
        <f t="shared" si="7"/>
        <v>100.88178701676401</v>
      </c>
      <c r="N58" s="8">
        <f t="shared" si="0"/>
        <v>1.00881787016764</v>
      </c>
      <c r="O58" s="8"/>
      <c r="P58" s="8"/>
      <c r="Q58" s="8"/>
      <c r="R58" s="8"/>
      <c r="S58" s="8"/>
    </row>
    <row r="59" spans="1:19" s="5" customFormat="1" ht="13.2" x14ac:dyDescent="0.3">
      <c r="A59" s="6"/>
      <c r="E59" s="5">
        <v>57</v>
      </c>
      <c r="F59" s="5">
        <f t="shared" si="1"/>
        <v>57</v>
      </c>
      <c r="G59" s="8">
        <f t="shared" si="3"/>
        <v>0.24839140421858197</v>
      </c>
      <c r="H59" s="8">
        <f t="shared" si="4"/>
        <v>495.8941386188236</v>
      </c>
      <c r="I59" s="8">
        <f t="shared" si="2"/>
        <v>0</v>
      </c>
      <c r="J59" s="8">
        <f t="shared" si="5"/>
        <v>1000</v>
      </c>
      <c r="K59" s="8">
        <f t="shared" si="6"/>
        <v>2.016559426947905</v>
      </c>
      <c r="L59" s="8">
        <f t="shared" si="8"/>
        <v>50.000000000000014</v>
      </c>
      <c r="M59" s="8">
        <f t="shared" si="7"/>
        <v>100.82797134739528</v>
      </c>
      <c r="N59" s="8">
        <f t="shared" si="0"/>
        <v>1.0082797134739527</v>
      </c>
      <c r="O59" s="8"/>
      <c r="P59" s="8"/>
      <c r="Q59" s="8"/>
      <c r="R59" s="8"/>
      <c r="S59" s="8"/>
    </row>
    <row r="60" spans="1:19" s="5" customFormat="1" ht="13.2" x14ac:dyDescent="0.3">
      <c r="A60" s="6"/>
      <c r="E60" s="5">
        <v>58</v>
      </c>
      <c r="F60" s="5">
        <f t="shared" si="1"/>
        <v>58</v>
      </c>
      <c r="G60" s="8">
        <f t="shared" si="3"/>
        <v>0.23324769054440919</v>
      </c>
      <c r="H60" s="8">
        <f t="shared" si="4"/>
        <v>496.14253002304218</v>
      </c>
      <c r="I60" s="8">
        <f t="shared" si="2"/>
        <v>0</v>
      </c>
      <c r="J60" s="8">
        <f t="shared" si="5"/>
        <v>1000</v>
      </c>
      <c r="K60" s="8">
        <f t="shared" si="6"/>
        <v>2.0155498460362939</v>
      </c>
      <c r="L60" s="8">
        <f t="shared" si="8"/>
        <v>50</v>
      </c>
      <c r="M60" s="8">
        <f t="shared" si="7"/>
        <v>100.7774923018147</v>
      </c>
      <c r="N60" s="8">
        <f t="shared" si="0"/>
        <v>1.007774923018147</v>
      </c>
      <c r="O60" s="8"/>
      <c r="P60" s="8"/>
      <c r="Q60" s="8"/>
      <c r="R60" s="8"/>
      <c r="S60" s="8"/>
    </row>
    <row r="61" spans="1:19" s="5" customFormat="1" ht="13.2" x14ac:dyDescent="0.3">
      <c r="A61" s="6"/>
      <c r="E61" s="5">
        <v>59</v>
      </c>
      <c r="F61" s="5">
        <f t="shared" si="1"/>
        <v>59</v>
      </c>
      <c r="G61" s="8">
        <f t="shared" si="3"/>
        <v>0.21904104405178648</v>
      </c>
      <c r="H61" s="8">
        <f t="shared" si="4"/>
        <v>496.37577771358661</v>
      </c>
      <c r="I61" s="8">
        <f t="shared" si="2"/>
        <v>0</v>
      </c>
      <c r="J61" s="8">
        <f t="shared" si="5"/>
        <v>1000</v>
      </c>
      <c r="K61" s="8">
        <f t="shared" si="6"/>
        <v>2.0146027362701191</v>
      </c>
      <c r="L61" s="8">
        <f t="shared" si="8"/>
        <v>50</v>
      </c>
      <c r="M61" s="8">
        <f t="shared" si="7"/>
        <v>100.73013681350595</v>
      </c>
      <c r="N61" s="8">
        <f t="shared" si="0"/>
        <v>1.0073013681350595</v>
      </c>
      <c r="O61" s="8"/>
      <c r="P61" s="8"/>
      <c r="Q61" s="8"/>
      <c r="R61" s="8"/>
      <c r="S61" s="8"/>
    </row>
    <row r="62" spans="1:19" s="5" customFormat="1" ht="13.2" x14ac:dyDescent="0.3">
      <c r="A62" s="6"/>
      <c r="E62" s="5">
        <v>60</v>
      </c>
      <c r="F62" s="5">
        <f t="shared" si="1"/>
        <v>60</v>
      </c>
      <c r="G62" s="8">
        <f t="shared" si="3"/>
        <v>0.20571184678570775</v>
      </c>
      <c r="H62" s="8">
        <f t="shared" si="4"/>
        <v>496.59481875763839</v>
      </c>
      <c r="I62" s="8">
        <f t="shared" si="2"/>
        <v>0</v>
      </c>
      <c r="J62" s="8">
        <f t="shared" si="5"/>
        <v>1000</v>
      </c>
      <c r="K62" s="8">
        <f t="shared" si="6"/>
        <v>2.0137141231190472</v>
      </c>
      <c r="L62" s="8">
        <f t="shared" si="8"/>
        <v>50</v>
      </c>
      <c r="M62" s="8">
        <f t="shared" si="7"/>
        <v>100.68570615595236</v>
      </c>
      <c r="N62" s="8">
        <f t="shared" si="0"/>
        <v>1.0068570615595236</v>
      </c>
      <c r="O62" s="8"/>
      <c r="P62" s="8"/>
      <c r="Q62" s="8"/>
      <c r="R62" s="8"/>
      <c r="S62" s="8"/>
    </row>
    <row r="63" spans="1:19" s="5" customFormat="1" ht="13.2" x14ac:dyDescent="0.3">
      <c r="A63" s="6"/>
      <c r="E63" s="5">
        <v>61</v>
      </c>
      <c r="F63" s="5">
        <f t="shared" si="1"/>
        <v>61</v>
      </c>
      <c r="G63" s="8">
        <f t="shared" si="3"/>
        <v>0.193204467294954</v>
      </c>
      <c r="H63" s="8">
        <f t="shared" si="4"/>
        <v>496.80053060442413</v>
      </c>
      <c r="I63" s="8">
        <f t="shared" si="2"/>
        <v>0</v>
      </c>
      <c r="J63" s="8">
        <f t="shared" si="5"/>
        <v>1000</v>
      </c>
      <c r="K63" s="8">
        <f t="shared" si="6"/>
        <v>2.0128802978196632</v>
      </c>
      <c r="L63" s="8">
        <f t="shared" si="8"/>
        <v>50.000000000000014</v>
      </c>
      <c r="M63" s="8">
        <f t="shared" si="7"/>
        <v>100.64401489098319</v>
      </c>
      <c r="N63" s="8">
        <f t="shared" si="0"/>
        <v>1.0064401489098318</v>
      </c>
      <c r="O63" s="8"/>
      <c r="P63" s="8"/>
      <c r="Q63" s="8"/>
      <c r="R63" s="8"/>
      <c r="S63" s="8"/>
    </row>
    <row r="64" spans="1:19" s="5" customFormat="1" ht="13.2" x14ac:dyDescent="0.3">
      <c r="A64" s="6"/>
      <c r="E64" s="5">
        <v>62</v>
      </c>
      <c r="F64" s="5">
        <f t="shared" si="1"/>
        <v>62</v>
      </c>
      <c r="G64" s="8">
        <f t="shared" si="3"/>
        <v>0.18146697127965794</v>
      </c>
      <c r="H64" s="8">
        <f t="shared" si="4"/>
        <v>496.99373507171907</v>
      </c>
      <c r="I64" s="8">
        <f t="shared" si="2"/>
        <v>0</v>
      </c>
      <c r="J64" s="8">
        <f t="shared" si="5"/>
        <v>1000</v>
      </c>
      <c r="K64" s="8">
        <f t="shared" si="6"/>
        <v>2.0120977980853101</v>
      </c>
      <c r="L64" s="8">
        <f t="shared" si="8"/>
        <v>50.000000000000014</v>
      </c>
      <c r="M64" s="8">
        <f t="shared" si="7"/>
        <v>100.60488990426553</v>
      </c>
      <c r="N64" s="8">
        <f t="shared" si="0"/>
        <v>1.0060488990426553</v>
      </c>
      <c r="O64" s="8"/>
      <c r="P64" s="8"/>
      <c r="Q64" s="8"/>
      <c r="R64" s="8"/>
      <c r="S64" s="8"/>
    </row>
    <row r="65" spans="1:19" s="5" customFormat="1" ht="13.2" x14ac:dyDescent="0.3">
      <c r="A65" s="6"/>
      <c r="E65" s="5">
        <v>63</v>
      </c>
      <c r="F65" s="5">
        <f t="shared" si="1"/>
        <v>63</v>
      </c>
      <c r="G65" s="8">
        <f t="shared" si="3"/>
        <v>0.17045085587898523</v>
      </c>
      <c r="H65" s="8">
        <f t="shared" si="4"/>
        <v>497.17520204299871</v>
      </c>
      <c r="I65" s="8">
        <f t="shared" si="2"/>
        <v>0</v>
      </c>
      <c r="J65" s="8">
        <f t="shared" si="5"/>
        <v>1000</v>
      </c>
      <c r="K65" s="8">
        <f t="shared" si="6"/>
        <v>2.0113633903919328</v>
      </c>
      <c r="L65" s="8">
        <f t="shared" si="8"/>
        <v>49.999999999999993</v>
      </c>
      <c r="M65" s="8">
        <f t="shared" si="7"/>
        <v>100.56816951959662</v>
      </c>
      <c r="N65" s="8">
        <f t="shared" si="0"/>
        <v>1.0056816951959662</v>
      </c>
      <c r="O65" s="8"/>
      <c r="P65" s="8"/>
      <c r="Q65" s="8"/>
      <c r="R65" s="8"/>
      <c r="S65" s="8"/>
    </row>
    <row r="66" spans="1:19" s="5" customFormat="1" ht="13.2" x14ac:dyDescent="0.3">
      <c r="A66" s="6"/>
      <c r="E66" s="5">
        <v>64</v>
      </c>
      <c r="F66" s="5">
        <f t="shared" si="1"/>
        <v>64</v>
      </c>
      <c r="G66" s="8">
        <f t="shared" si="3"/>
        <v>0.16011080537152722</v>
      </c>
      <c r="H66" s="8">
        <f t="shared" si="4"/>
        <v>497.34565289887769</v>
      </c>
      <c r="I66" s="8">
        <f t="shared" si="2"/>
        <v>0</v>
      </c>
      <c r="J66" s="8">
        <f t="shared" si="5"/>
        <v>1000</v>
      </c>
      <c r="K66" s="8">
        <f t="shared" si="6"/>
        <v>2.0106740536914356</v>
      </c>
      <c r="L66" s="8">
        <f t="shared" si="8"/>
        <v>49.999999999999993</v>
      </c>
      <c r="M66" s="8">
        <f t="shared" si="7"/>
        <v>100.53370268457176</v>
      </c>
      <c r="N66" s="8">
        <f t="shared" ref="N66:N129" si="9">M66/$B$10</f>
        <v>1.0053370268457176</v>
      </c>
      <c r="O66" s="8"/>
      <c r="P66" s="8"/>
      <c r="Q66" s="8"/>
      <c r="R66" s="8"/>
      <c r="S66" s="8"/>
    </row>
    <row r="67" spans="1:19" s="5" customFormat="1" ht="13.2" x14ac:dyDescent="0.3">
      <c r="A67" s="6"/>
      <c r="E67" s="5">
        <v>65</v>
      </c>
      <c r="F67" s="5">
        <f t="shared" ref="F67:F130" si="10">E67*$B$2</f>
        <v>65</v>
      </c>
      <c r="G67" s="8">
        <f t="shared" si="3"/>
        <v>0.15040446630284032</v>
      </c>
      <c r="H67" s="8">
        <f t="shared" si="4"/>
        <v>497.5057637042492</v>
      </c>
      <c r="I67" s="8">
        <f t="shared" ref="I67:I130" si="11">H67*$B$5*$B$2*MAX(0,1-N67)</f>
        <v>0</v>
      </c>
      <c r="J67" s="8">
        <f t="shared" si="5"/>
        <v>1000</v>
      </c>
      <c r="K67" s="8">
        <f t="shared" si="6"/>
        <v>2.0100269644201894</v>
      </c>
      <c r="L67" s="8">
        <f t="shared" si="8"/>
        <v>50</v>
      </c>
      <c r="M67" s="8">
        <f t="shared" si="7"/>
        <v>100.50134822100947</v>
      </c>
      <c r="N67" s="8">
        <f t="shared" si="9"/>
        <v>1.0050134822100947</v>
      </c>
      <c r="O67" s="8"/>
      <c r="P67" s="8"/>
      <c r="Q67" s="8"/>
      <c r="R67" s="8"/>
      <c r="S67" s="8"/>
    </row>
    <row r="68" spans="1:19" s="5" customFormat="1" ht="13.2" x14ac:dyDescent="0.3">
      <c r="A68" s="6"/>
      <c r="E68" s="5">
        <v>66</v>
      </c>
      <c r="F68" s="5">
        <f t="shared" si="10"/>
        <v>66</v>
      </c>
      <c r="G68" s="8">
        <f t="shared" ref="G68:G131" si="12">MAX(0,IF(N68&gt;=1,J68*$B$4*$B$2*(N68-1),0))</f>
        <v>0.14129224026686371</v>
      </c>
      <c r="H68" s="8">
        <f t="shared" ref="H68:H131" si="13">H67+(G67-I67)</f>
        <v>497.65616817055206</v>
      </c>
      <c r="I68" s="8">
        <f t="shared" si="11"/>
        <v>0</v>
      </c>
      <c r="J68" s="8">
        <f t="shared" ref="J68:J131" si="14">IF(MOD(F68,3)=0,$B$6+$B$6*$B$12,IF(MOD(F68,7)=0,$B$6-$B$6*$B$12,$B$6))</f>
        <v>1000</v>
      </c>
      <c r="K68" s="8">
        <f t="shared" ref="K68:K131" si="15">MIN($B$11,J68/H68)</f>
        <v>2.0094194826844571</v>
      </c>
      <c r="L68" s="8">
        <f t="shared" ref="L68:L131" si="16">$B$8*(J68/(H68*K68))</f>
        <v>50.000000000000014</v>
      </c>
      <c r="M68" s="8">
        <f t="shared" ref="M68:M131" si="17">K68*L68</f>
        <v>100.47097413422289</v>
      </c>
      <c r="N68" s="8">
        <f t="shared" si="9"/>
        <v>1.0047097413422288</v>
      </c>
      <c r="O68" s="8"/>
      <c r="P68" s="8"/>
      <c r="Q68" s="8"/>
      <c r="R68" s="8"/>
      <c r="S68" s="8"/>
    </row>
    <row r="69" spans="1:19" s="5" customFormat="1" ht="13.2" x14ac:dyDescent="0.3">
      <c r="A69" s="6"/>
      <c r="E69" s="5">
        <v>67</v>
      </c>
      <c r="F69" s="5">
        <f t="shared" si="10"/>
        <v>67</v>
      </c>
      <c r="G69" s="8">
        <f t="shared" si="12"/>
        <v>0.13273709275435142</v>
      </c>
      <c r="H69" s="8">
        <f t="shared" si="13"/>
        <v>497.79746041081893</v>
      </c>
      <c r="I69" s="8">
        <f t="shared" si="11"/>
        <v>0</v>
      </c>
      <c r="J69" s="8">
        <f t="shared" si="14"/>
        <v>1000</v>
      </c>
      <c r="K69" s="8">
        <f t="shared" si="15"/>
        <v>2.0088491395169568</v>
      </c>
      <c r="L69" s="8">
        <f t="shared" si="16"/>
        <v>50</v>
      </c>
      <c r="M69" s="8">
        <f t="shared" si="17"/>
        <v>100.44245697584783</v>
      </c>
      <c r="N69" s="8">
        <f t="shared" si="9"/>
        <v>1.0044245697584784</v>
      </c>
      <c r="O69" s="8"/>
      <c r="P69" s="8"/>
      <c r="Q69" s="8"/>
      <c r="R69" s="8"/>
      <c r="S69" s="8"/>
    </row>
    <row r="70" spans="1:19" s="5" customFormat="1" ht="13.2" x14ac:dyDescent="0.3">
      <c r="A70" s="6"/>
      <c r="E70" s="5">
        <v>68</v>
      </c>
      <c r="F70" s="5">
        <f t="shared" si="10"/>
        <v>68</v>
      </c>
      <c r="G70" s="8">
        <f t="shared" si="12"/>
        <v>0.1247043766457967</v>
      </c>
      <c r="H70" s="8">
        <f t="shared" si="13"/>
        <v>497.93019750357325</v>
      </c>
      <c r="I70" s="8">
        <f t="shared" si="11"/>
        <v>0</v>
      </c>
      <c r="J70" s="8">
        <f t="shared" si="14"/>
        <v>1000</v>
      </c>
      <c r="K70" s="8">
        <f t="shared" si="15"/>
        <v>2.0083136251097198</v>
      </c>
      <c r="L70" s="8">
        <f t="shared" si="16"/>
        <v>50</v>
      </c>
      <c r="M70" s="8">
        <f t="shared" si="17"/>
        <v>100.41568125548599</v>
      </c>
      <c r="N70" s="8">
        <f t="shared" si="9"/>
        <v>1.0041568125548599</v>
      </c>
      <c r="O70" s="8"/>
      <c r="P70" s="8"/>
      <c r="Q70" s="8"/>
      <c r="R70" s="8"/>
      <c r="S70" s="8"/>
    </row>
    <row r="71" spans="1:19" s="5" customFormat="1" ht="13.2" x14ac:dyDescent="0.3">
      <c r="A71" s="6"/>
      <c r="E71" s="5">
        <v>69</v>
      </c>
      <c r="F71" s="5">
        <f t="shared" si="10"/>
        <v>69</v>
      </c>
      <c r="G71" s="8">
        <f t="shared" si="12"/>
        <v>0.11716166907129733</v>
      </c>
      <c r="H71" s="8">
        <f t="shared" si="13"/>
        <v>498.05490188021906</v>
      </c>
      <c r="I71" s="8">
        <f t="shared" si="11"/>
        <v>0</v>
      </c>
      <c r="J71" s="8">
        <f t="shared" si="14"/>
        <v>1000</v>
      </c>
      <c r="K71" s="8">
        <f t="shared" si="15"/>
        <v>2.0078107779380865</v>
      </c>
      <c r="L71" s="8">
        <f t="shared" si="16"/>
        <v>50</v>
      </c>
      <c r="M71" s="8">
        <f t="shared" si="17"/>
        <v>100.39053889690433</v>
      </c>
      <c r="N71" s="8">
        <f t="shared" si="9"/>
        <v>1.0039053889690432</v>
      </c>
      <c r="O71" s="8"/>
      <c r="P71" s="8"/>
      <c r="Q71" s="8"/>
      <c r="R71" s="8"/>
      <c r="S71" s="8"/>
    </row>
    <row r="72" spans="1:19" s="5" customFormat="1" ht="13.2" x14ac:dyDescent="0.3">
      <c r="A72" s="6"/>
      <c r="E72" s="5">
        <v>70</v>
      </c>
      <c r="F72" s="5">
        <f t="shared" si="10"/>
        <v>70</v>
      </c>
      <c r="G72" s="8">
        <f t="shared" si="12"/>
        <v>0.11007862048824091</v>
      </c>
      <c r="H72" s="8">
        <f t="shared" si="13"/>
        <v>498.17206354929039</v>
      </c>
      <c r="I72" s="8">
        <f t="shared" si="11"/>
        <v>0</v>
      </c>
      <c r="J72" s="8">
        <f t="shared" si="14"/>
        <v>1000</v>
      </c>
      <c r="K72" s="8">
        <f t="shared" si="15"/>
        <v>2.0073385746992165</v>
      </c>
      <c r="L72" s="8">
        <f t="shared" si="16"/>
        <v>49.999999999999993</v>
      </c>
      <c r="M72" s="8">
        <f t="shared" si="17"/>
        <v>100.36692873496081</v>
      </c>
      <c r="N72" s="8">
        <f t="shared" si="9"/>
        <v>1.003669287349608</v>
      </c>
      <c r="O72" s="8"/>
      <c r="P72" s="8"/>
      <c r="Q72" s="8"/>
      <c r="R72" s="8"/>
      <c r="S72" s="8"/>
    </row>
    <row r="73" spans="1:19" s="5" customFormat="1" ht="13.2" x14ac:dyDescent="0.3">
      <c r="A73" s="6"/>
      <c r="E73" s="5">
        <v>71</v>
      </c>
      <c r="F73" s="5">
        <f t="shared" si="10"/>
        <v>71</v>
      </c>
      <c r="G73" s="8">
        <f t="shared" si="12"/>
        <v>0.10342681494108552</v>
      </c>
      <c r="H73" s="8">
        <f t="shared" si="13"/>
        <v>498.28214216977864</v>
      </c>
      <c r="I73" s="8">
        <f t="shared" si="11"/>
        <v>0</v>
      </c>
      <c r="J73" s="8">
        <f t="shared" si="14"/>
        <v>1000</v>
      </c>
      <c r="K73" s="8">
        <f t="shared" si="15"/>
        <v>2.0068951209960724</v>
      </c>
      <c r="L73" s="8">
        <f t="shared" si="16"/>
        <v>50</v>
      </c>
      <c r="M73" s="8">
        <f t="shared" si="17"/>
        <v>100.34475604980362</v>
      </c>
      <c r="N73" s="8">
        <f t="shared" si="9"/>
        <v>1.0034475604980362</v>
      </c>
      <c r="O73" s="8"/>
      <c r="P73" s="8"/>
      <c r="Q73" s="8"/>
      <c r="R73" s="8"/>
      <c r="S73" s="8"/>
    </row>
    <row r="74" spans="1:19" s="5" customFormat="1" ht="13.2" x14ac:dyDescent="0.3">
      <c r="A74" s="6"/>
      <c r="E74" s="5">
        <v>72</v>
      </c>
      <c r="F74" s="5">
        <f t="shared" si="10"/>
        <v>72</v>
      </c>
      <c r="G74" s="8">
        <f t="shared" si="12"/>
        <v>9.7179640568390013E-2</v>
      </c>
      <c r="H74" s="8">
        <f t="shared" si="13"/>
        <v>498.38556898471973</v>
      </c>
      <c r="I74" s="8">
        <f t="shared" si="11"/>
        <v>0</v>
      </c>
      <c r="J74" s="8">
        <f t="shared" si="14"/>
        <v>1000</v>
      </c>
      <c r="K74" s="8">
        <f t="shared" si="15"/>
        <v>2.0064786427045593</v>
      </c>
      <c r="L74" s="8">
        <f t="shared" si="16"/>
        <v>50</v>
      </c>
      <c r="M74" s="8">
        <f t="shared" si="17"/>
        <v>100.32393213522796</v>
      </c>
      <c r="N74" s="8">
        <f t="shared" si="9"/>
        <v>1.0032393213522797</v>
      </c>
      <c r="O74" s="8"/>
      <c r="P74" s="8"/>
      <c r="Q74" s="8"/>
      <c r="R74" s="8"/>
      <c r="S74" s="8"/>
    </row>
    <row r="75" spans="1:19" s="5" customFormat="1" ht="13.2" x14ac:dyDescent="0.3">
      <c r="A75" s="6"/>
      <c r="E75" s="5">
        <v>73</v>
      </c>
      <c r="F75" s="5">
        <f t="shared" si="10"/>
        <v>73</v>
      </c>
      <c r="G75" s="8">
        <f t="shared" si="12"/>
        <v>9.1312169512163255E-2</v>
      </c>
      <c r="H75" s="8">
        <f t="shared" si="13"/>
        <v>498.48274862528814</v>
      </c>
      <c r="I75" s="8">
        <f t="shared" si="11"/>
        <v>0</v>
      </c>
      <c r="J75" s="8">
        <f t="shared" si="14"/>
        <v>1000</v>
      </c>
      <c r="K75" s="8">
        <f t="shared" si="15"/>
        <v>2.0060874779674767</v>
      </c>
      <c r="L75" s="8">
        <f t="shared" si="16"/>
        <v>50.000000000000014</v>
      </c>
      <c r="M75" s="8">
        <f t="shared" si="17"/>
        <v>100.30437389837387</v>
      </c>
      <c r="N75" s="8">
        <f t="shared" si="9"/>
        <v>1.0030437389837388</v>
      </c>
      <c r="O75" s="8"/>
      <c r="P75" s="8"/>
      <c r="Q75" s="8"/>
      <c r="R75" s="8"/>
      <c r="S75" s="8"/>
    </row>
    <row r="76" spans="1:19" s="5" customFormat="1" ht="13.2" x14ac:dyDescent="0.3">
      <c r="A76" s="6"/>
      <c r="E76" s="5">
        <v>74</v>
      </c>
      <c r="F76" s="5">
        <f t="shared" si="10"/>
        <v>74</v>
      </c>
      <c r="G76" s="8">
        <f t="shared" si="12"/>
        <v>8.5801046463984676E-2</v>
      </c>
      <c r="H76" s="8">
        <f t="shared" si="13"/>
        <v>498.57406079480029</v>
      </c>
      <c r="I76" s="8">
        <f t="shared" si="11"/>
        <v>0</v>
      </c>
      <c r="J76" s="8">
        <f t="shared" si="14"/>
        <v>1000</v>
      </c>
      <c r="K76" s="8">
        <f t="shared" si="15"/>
        <v>2.0057200697642656</v>
      </c>
      <c r="L76" s="8">
        <f t="shared" si="16"/>
        <v>50</v>
      </c>
      <c r="M76" s="8">
        <f t="shared" si="17"/>
        <v>100.28600348821328</v>
      </c>
      <c r="N76" s="8">
        <f t="shared" si="9"/>
        <v>1.0028600348821328</v>
      </c>
      <c r="O76" s="8"/>
      <c r="P76" s="8"/>
      <c r="Q76" s="8"/>
      <c r="R76" s="8"/>
      <c r="S76" s="8"/>
    </row>
    <row r="77" spans="1:19" s="5" customFormat="1" ht="13.2" x14ac:dyDescent="0.3">
      <c r="A77" s="6"/>
      <c r="E77" s="5">
        <v>75</v>
      </c>
      <c r="F77" s="5">
        <f t="shared" si="10"/>
        <v>75</v>
      </c>
      <c r="G77" s="8">
        <f t="shared" si="12"/>
        <v>8.0624385154284273E-2</v>
      </c>
      <c r="H77" s="8">
        <f t="shared" si="13"/>
        <v>498.65986184126427</v>
      </c>
      <c r="I77" s="8">
        <f t="shared" si="11"/>
        <v>0</v>
      </c>
      <c r="J77" s="8">
        <f t="shared" si="14"/>
        <v>1000</v>
      </c>
      <c r="K77" s="8">
        <f t="shared" si="15"/>
        <v>2.0053749590102856</v>
      </c>
      <c r="L77" s="8">
        <f t="shared" si="16"/>
        <v>50</v>
      </c>
      <c r="M77" s="8">
        <f t="shared" si="17"/>
        <v>100.26874795051428</v>
      </c>
      <c r="N77" s="8">
        <f t="shared" si="9"/>
        <v>1.0026874795051428</v>
      </c>
      <c r="O77" s="8"/>
      <c r="P77" s="8"/>
      <c r="Q77" s="8"/>
      <c r="R77" s="8"/>
      <c r="S77" s="8"/>
    </row>
    <row r="78" spans="1:19" s="5" customFormat="1" ht="13.2" x14ac:dyDescent="0.3">
      <c r="A78" s="6"/>
      <c r="E78" s="5">
        <v>76</v>
      </c>
      <c r="F78" s="5">
        <f t="shared" si="10"/>
        <v>76</v>
      </c>
      <c r="G78" s="8">
        <f t="shared" si="12"/>
        <v>7.5761672154059934E-2</v>
      </c>
      <c r="H78" s="8">
        <f t="shared" si="13"/>
        <v>498.74048622641857</v>
      </c>
      <c r="I78" s="8">
        <f t="shared" si="11"/>
        <v>0</v>
      </c>
      <c r="J78" s="8">
        <f t="shared" si="14"/>
        <v>1000</v>
      </c>
      <c r="K78" s="8">
        <f t="shared" si="15"/>
        <v>2.005050778143604</v>
      </c>
      <c r="L78" s="8">
        <f t="shared" si="16"/>
        <v>50</v>
      </c>
      <c r="M78" s="8">
        <f t="shared" si="17"/>
        <v>100.2525389071802</v>
      </c>
      <c r="N78" s="8">
        <f t="shared" si="9"/>
        <v>1.002525389071802</v>
      </c>
      <c r="O78" s="8"/>
      <c r="P78" s="8"/>
      <c r="Q78" s="8"/>
      <c r="R78" s="8"/>
      <c r="S78" s="8"/>
    </row>
    <row r="79" spans="1:19" s="5" customFormat="1" ht="13.2" x14ac:dyDescent="0.3">
      <c r="A79" s="6"/>
      <c r="E79" s="5">
        <v>77</v>
      </c>
      <c r="F79" s="5">
        <f t="shared" si="10"/>
        <v>77</v>
      </c>
      <c r="G79" s="8">
        <f t="shared" si="12"/>
        <v>7.1193677416143686E-2</v>
      </c>
      <c r="H79" s="8">
        <f t="shared" si="13"/>
        <v>498.81624789857261</v>
      </c>
      <c r="I79" s="8">
        <f t="shared" si="11"/>
        <v>0</v>
      </c>
      <c r="J79" s="8">
        <f t="shared" si="14"/>
        <v>1000</v>
      </c>
      <c r="K79" s="8">
        <f t="shared" si="15"/>
        <v>2.0047462451610762</v>
      </c>
      <c r="L79" s="8">
        <f t="shared" si="16"/>
        <v>50</v>
      </c>
      <c r="M79" s="8">
        <f t="shared" si="17"/>
        <v>100.23731225805381</v>
      </c>
      <c r="N79" s="8">
        <f t="shared" si="9"/>
        <v>1.0023731225805381</v>
      </c>
      <c r="O79" s="8"/>
      <c r="P79" s="8"/>
      <c r="Q79" s="8"/>
      <c r="R79" s="8"/>
      <c r="S79" s="8"/>
    </row>
    <row r="80" spans="1:19" s="5" customFormat="1" ht="13.2" x14ac:dyDescent="0.3">
      <c r="A80" s="6"/>
      <c r="E80" s="5">
        <v>78</v>
      </c>
      <c r="F80" s="5">
        <f t="shared" si="10"/>
        <v>78</v>
      </c>
      <c r="G80" s="8">
        <f t="shared" si="12"/>
        <v>6.6902371033634722E-2</v>
      </c>
      <c r="H80" s="8">
        <f t="shared" si="13"/>
        <v>498.88744157598876</v>
      </c>
      <c r="I80" s="8">
        <f t="shared" si="11"/>
        <v>0</v>
      </c>
      <c r="J80" s="8">
        <f t="shared" si="14"/>
        <v>1000</v>
      </c>
      <c r="K80" s="8">
        <f t="shared" si="15"/>
        <v>2.004460158068909</v>
      </c>
      <c r="L80" s="8">
        <f t="shared" si="16"/>
        <v>50</v>
      </c>
      <c r="M80" s="8">
        <f t="shared" si="17"/>
        <v>100.22300790344545</v>
      </c>
      <c r="N80" s="8">
        <f t="shared" si="9"/>
        <v>1.0022300790344545</v>
      </c>
      <c r="O80" s="8"/>
      <c r="P80" s="8"/>
      <c r="Q80" s="8"/>
      <c r="R80" s="8"/>
      <c r="S80" s="8"/>
    </row>
    <row r="81" spans="1:19" s="5" customFormat="1" ht="13.2" x14ac:dyDescent="0.3">
      <c r="A81" s="6"/>
      <c r="E81" s="5">
        <v>79</v>
      </c>
      <c r="F81" s="5">
        <f t="shared" si="10"/>
        <v>79</v>
      </c>
      <c r="G81" s="8">
        <f t="shared" si="12"/>
        <v>6.2870845739466663E-2</v>
      </c>
      <c r="H81" s="8">
        <f t="shared" si="13"/>
        <v>498.95434394702238</v>
      </c>
      <c r="I81" s="8">
        <f t="shared" si="11"/>
        <v>0</v>
      </c>
      <c r="J81" s="8">
        <f t="shared" si="14"/>
        <v>1000</v>
      </c>
      <c r="K81" s="8">
        <f t="shared" si="15"/>
        <v>2.0041913897159644</v>
      </c>
      <c r="L81" s="8">
        <f t="shared" si="16"/>
        <v>49.999999999999993</v>
      </c>
      <c r="M81" s="8">
        <f t="shared" si="17"/>
        <v>100.20956948579821</v>
      </c>
      <c r="N81" s="8">
        <f t="shared" si="9"/>
        <v>1.0020956948579822</v>
      </c>
      <c r="O81" s="8"/>
      <c r="P81" s="8"/>
      <c r="Q81" s="8"/>
      <c r="R81" s="8"/>
      <c r="S81" s="8"/>
    </row>
    <row r="82" spans="1:19" s="5" customFormat="1" ht="13.2" x14ac:dyDescent="0.3">
      <c r="A82" s="6"/>
      <c r="E82" s="5">
        <v>80</v>
      </c>
      <c r="F82" s="5">
        <f t="shared" si="10"/>
        <v>80</v>
      </c>
      <c r="G82" s="8">
        <f t="shared" si="12"/>
        <v>5.9083244712090366E-2</v>
      </c>
      <c r="H82" s="8">
        <f t="shared" si="13"/>
        <v>499.01721479276182</v>
      </c>
      <c r="I82" s="8">
        <f t="shared" si="11"/>
        <v>0</v>
      </c>
      <c r="J82" s="8">
        <f t="shared" si="14"/>
        <v>1000</v>
      </c>
      <c r="K82" s="8">
        <f t="shared" si="15"/>
        <v>2.003938882980806</v>
      </c>
      <c r="L82" s="8">
        <f t="shared" si="16"/>
        <v>49.999999999999993</v>
      </c>
      <c r="M82" s="8">
        <f t="shared" si="17"/>
        <v>100.19694414904029</v>
      </c>
      <c r="N82" s="8">
        <f t="shared" si="9"/>
        <v>1.001969441490403</v>
      </c>
      <c r="O82" s="8"/>
      <c r="P82" s="8"/>
      <c r="Q82" s="8"/>
      <c r="R82" s="8"/>
      <c r="S82" s="8"/>
    </row>
    <row r="83" spans="1:19" s="5" customFormat="1" ht="13.2" x14ac:dyDescent="0.3">
      <c r="A83" s="6"/>
      <c r="E83" s="5">
        <v>81</v>
      </c>
      <c r="F83" s="5">
        <f t="shared" si="10"/>
        <v>81</v>
      </c>
      <c r="G83" s="8">
        <f t="shared" si="12"/>
        <v>5.5524694289736942E-2</v>
      </c>
      <c r="H83" s="8">
        <f t="shared" si="13"/>
        <v>499.07629803747392</v>
      </c>
      <c r="I83" s="8">
        <f t="shared" si="11"/>
        <v>0</v>
      </c>
      <c r="J83" s="8">
        <f t="shared" si="14"/>
        <v>1000</v>
      </c>
      <c r="K83" s="8">
        <f t="shared" si="15"/>
        <v>2.003701646285982</v>
      </c>
      <c r="L83" s="8">
        <f t="shared" si="16"/>
        <v>50.000000000000014</v>
      </c>
      <c r="M83" s="8">
        <f t="shared" si="17"/>
        <v>100.18508231429912</v>
      </c>
      <c r="N83" s="8">
        <f t="shared" si="9"/>
        <v>1.0018508231429912</v>
      </c>
      <c r="O83" s="8"/>
      <c r="P83" s="8"/>
      <c r="Q83" s="8"/>
      <c r="R83" s="8"/>
      <c r="S83" s="8"/>
    </row>
    <row r="84" spans="1:19" s="5" customFormat="1" ht="13.2" x14ac:dyDescent="0.3">
      <c r="A84" s="6"/>
      <c r="E84" s="5">
        <v>82</v>
      </c>
      <c r="F84" s="5">
        <f t="shared" si="10"/>
        <v>82</v>
      </c>
      <c r="G84" s="8">
        <f t="shared" si="12"/>
        <v>5.2181241229112274E-2</v>
      </c>
      <c r="H84" s="8">
        <f t="shared" si="13"/>
        <v>499.13182273176363</v>
      </c>
      <c r="I84" s="8">
        <f t="shared" si="11"/>
        <v>0</v>
      </c>
      <c r="J84" s="8">
        <f t="shared" si="14"/>
        <v>1000</v>
      </c>
      <c r="K84" s="8">
        <f t="shared" si="15"/>
        <v>2.0034787494152737</v>
      </c>
      <c r="L84" s="8">
        <f t="shared" si="16"/>
        <v>50.000000000000014</v>
      </c>
      <c r="M84" s="8">
        <f t="shared" si="17"/>
        <v>100.17393747076372</v>
      </c>
      <c r="N84" s="8">
        <f t="shared" si="9"/>
        <v>1.0017393747076371</v>
      </c>
      <c r="O84" s="8"/>
      <c r="P84" s="8"/>
      <c r="Q84" s="8"/>
      <c r="R84" s="8"/>
      <c r="S84" s="8"/>
    </row>
    <row r="85" spans="1:19" s="5" customFormat="1" ht="13.2" x14ac:dyDescent="0.3">
      <c r="A85" s="6"/>
      <c r="E85" s="5">
        <v>83</v>
      </c>
      <c r="F85" s="5">
        <f t="shared" si="10"/>
        <v>83</v>
      </c>
      <c r="G85" s="8">
        <f t="shared" si="12"/>
        <v>4.903979417486326E-2</v>
      </c>
      <c r="H85" s="8">
        <f t="shared" si="13"/>
        <v>499.18400397299274</v>
      </c>
      <c r="I85" s="8">
        <f t="shared" si="11"/>
        <v>0</v>
      </c>
      <c r="J85" s="8">
        <f t="shared" si="14"/>
        <v>1000</v>
      </c>
      <c r="K85" s="8">
        <f t="shared" si="15"/>
        <v>2.0032693196116571</v>
      </c>
      <c r="L85" s="8">
        <f t="shared" si="16"/>
        <v>50.000000000000014</v>
      </c>
      <c r="M85" s="8">
        <f t="shared" si="17"/>
        <v>100.16346598058288</v>
      </c>
      <c r="N85" s="8">
        <f t="shared" si="9"/>
        <v>1.0016346598058288</v>
      </c>
      <c r="O85" s="8"/>
      <c r="P85" s="8"/>
      <c r="Q85" s="8"/>
      <c r="R85" s="8"/>
      <c r="S85" s="8"/>
    </row>
    <row r="86" spans="1:19" s="5" customFormat="1" ht="13.2" x14ac:dyDescent="0.3">
      <c r="A86" s="6"/>
      <c r="E86" s="5">
        <v>84</v>
      </c>
      <c r="F86" s="5">
        <f t="shared" si="10"/>
        <v>84</v>
      </c>
      <c r="G86" s="8">
        <f t="shared" si="12"/>
        <v>4.6088069033554113E-2</v>
      </c>
      <c r="H86" s="8">
        <f t="shared" si="13"/>
        <v>499.2330437671676</v>
      </c>
      <c r="I86" s="8">
        <f t="shared" si="11"/>
        <v>0</v>
      </c>
      <c r="J86" s="8">
        <f t="shared" si="14"/>
        <v>1000</v>
      </c>
      <c r="K86" s="8">
        <f t="shared" si="15"/>
        <v>2.0030725379355703</v>
      </c>
      <c r="L86" s="8">
        <f t="shared" si="16"/>
        <v>50</v>
      </c>
      <c r="M86" s="8">
        <f t="shared" si="17"/>
        <v>100.15362689677852</v>
      </c>
      <c r="N86" s="8">
        <f t="shared" si="9"/>
        <v>1.0015362689677851</v>
      </c>
      <c r="O86" s="8"/>
      <c r="P86" s="8"/>
      <c r="Q86" s="8"/>
      <c r="R86" s="8"/>
      <c r="S86" s="8"/>
    </row>
    <row r="87" spans="1:19" s="5" customFormat="1" ht="13.2" x14ac:dyDescent="0.3">
      <c r="A87" s="6"/>
      <c r="E87" s="5">
        <v>85</v>
      </c>
      <c r="F87" s="5">
        <f t="shared" si="10"/>
        <v>85</v>
      </c>
      <c r="G87" s="8">
        <f t="shared" si="12"/>
        <v>4.331453797083773E-2</v>
      </c>
      <c r="H87" s="8">
        <f t="shared" si="13"/>
        <v>499.27913183620115</v>
      </c>
      <c r="I87" s="8">
        <f t="shared" si="11"/>
        <v>0</v>
      </c>
      <c r="J87" s="8">
        <f t="shared" si="14"/>
        <v>1000</v>
      </c>
      <c r="K87" s="8">
        <f t="shared" si="15"/>
        <v>2.0028876358647225</v>
      </c>
      <c r="L87" s="8">
        <f t="shared" si="16"/>
        <v>50</v>
      </c>
      <c r="M87" s="8">
        <f t="shared" si="17"/>
        <v>100.14438179323612</v>
      </c>
      <c r="N87" s="8">
        <f t="shared" si="9"/>
        <v>1.0014438179323613</v>
      </c>
      <c r="O87" s="8"/>
      <c r="P87" s="8"/>
      <c r="Q87" s="8"/>
      <c r="R87" s="8"/>
      <c r="S87" s="8"/>
    </row>
    <row r="88" spans="1:19" s="5" customFormat="1" ht="13.2" x14ac:dyDescent="0.3">
      <c r="A88" s="6"/>
      <c r="E88" s="5">
        <v>86</v>
      </c>
      <c r="F88" s="5">
        <f t="shared" si="10"/>
        <v>86</v>
      </c>
      <c r="G88" s="8">
        <f t="shared" si="12"/>
        <v>4.0708381773029156E-2</v>
      </c>
      <c r="H88" s="8">
        <f t="shared" si="13"/>
        <v>499.32244637417199</v>
      </c>
      <c r="I88" s="8">
        <f t="shared" si="11"/>
        <v>0</v>
      </c>
      <c r="J88" s="8">
        <f t="shared" si="14"/>
        <v>1000</v>
      </c>
      <c r="K88" s="8">
        <f t="shared" si="15"/>
        <v>2.0027138921182015</v>
      </c>
      <c r="L88" s="8">
        <f t="shared" si="16"/>
        <v>50.000000000000014</v>
      </c>
      <c r="M88" s="8">
        <f t="shared" si="17"/>
        <v>100.1356946059101</v>
      </c>
      <c r="N88" s="8">
        <f t="shared" si="9"/>
        <v>1.001356946059101</v>
      </c>
      <c r="O88" s="8"/>
      <c r="P88" s="8"/>
      <c r="Q88" s="8"/>
      <c r="R88" s="8"/>
      <c r="S88" s="8"/>
    </row>
    <row r="89" spans="1:19" s="5" customFormat="1" ht="13.2" x14ac:dyDescent="0.3">
      <c r="A89" s="6"/>
      <c r="E89" s="5">
        <v>87</v>
      </c>
      <c r="F89" s="5">
        <f t="shared" si="10"/>
        <v>87</v>
      </c>
      <c r="G89" s="8">
        <f t="shared" si="12"/>
        <v>3.8259445334898334E-2</v>
      </c>
      <c r="H89" s="8">
        <f t="shared" si="13"/>
        <v>499.363154755945</v>
      </c>
      <c r="I89" s="8">
        <f t="shared" si="11"/>
        <v>0</v>
      </c>
      <c r="J89" s="8">
        <f t="shared" si="14"/>
        <v>1000</v>
      </c>
      <c r="K89" s="8">
        <f t="shared" si="15"/>
        <v>2.0025506296889937</v>
      </c>
      <c r="L89" s="8">
        <f t="shared" si="16"/>
        <v>49.999999999999993</v>
      </c>
      <c r="M89" s="8">
        <f t="shared" si="17"/>
        <v>100.12753148444966</v>
      </c>
      <c r="N89" s="8">
        <f t="shared" si="9"/>
        <v>1.0012753148444966</v>
      </c>
      <c r="O89" s="8"/>
      <c r="P89" s="8"/>
      <c r="Q89" s="8"/>
      <c r="R89" s="8"/>
      <c r="S89" s="8"/>
    </row>
    <row r="90" spans="1:19" s="5" customFormat="1" ht="13.2" x14ac:dyDescent="0.3">
      <c r="A90" s="6"/>
      <c r="E90" s="5">
        <v>88</v>
      </c>
      <c r="F90" s="5">
        <f t="shared" si="10"/>
        <v>88</v>
      </c>
      <c r="G90" s="8">
        <f t="shared" si="12"/>
        <v>3.5958196054217684E-2</v>
      </c>
      <c r="H90" s="8">
        <f t="shared" si="13"/>
        <v>499.40141420127992</v>
      </c>
      <c r="I90" s="8">
        <f t="shared" si="11"/>
        <v>0</v>
      </c>
      <c r="J90" s="8">
        <f t="shared" si="14"/>
        <v>1000</v>
      </c>
      <c r="K90" s="8">
        <f t="shared" si="15"/>
        <v>2.0023972130702812</v>
      </c>
      <c r="L90" s="8">
        <f t="shared" si="16"/>
        <v>50</v>
      </c>
      <c r="M90" s="8">
        <f t="shared" si="17"/>
        <v>100.11986065351405</v>
      </c>
      <c r="N90" s="8">
        <f t="shared" si="9"/>
        <v>1.0011986065351406</v>
      </c>
      <c r="O90" s="8"/>
      <c r="P90" s="8"/>
      <c r="Q90" s="8"/>
      <c r="R90" s="8"/>
      <c r="S90" s="8"/>
    </row>
    <row r="91" spans="1:19" s="5" customFormat="1" ht="13.2" x14ac:dyDescent="0.3">
      <c r="A91" s="6"/>
      <c r="E91" s="5">
        <v>89</v>
      </c>
      <c r="F91" s="5">
        <f t="shared" si="10"/>
        <v>89</v>
      </c>
      <c r="G91" s="8">
        <f t="shared" si="12"/>
        <v>3.379568493034002E-2</v>
      </c>
      <c r="H91" s="8">
        <f t="shared" si="13"/>
        <v>499.43737239733412</v>
      </c>
      <c r="I91" s="8">
        <f t="shared" si="11"/>
        <v>0</v>
      </c>
      <c r="J91" s="8">
        <f t="shared" si="14"/>
        <v>1000</v>
      </c>
      <c r="K91" s="8">
        <f t="shared" si="15"/>
        <v>2.0022530456620227</v>
      </c>
      <c r="L91" s="8">
        <f t="shared" si="16"/>
        <v>50</v>
      </c>
      <c r="M91" s="8">
        <f t="shared" si="17"/>
        <v>100.11265228310113</v>
      </c>
      <c r="N91" s="8">
        <f t="shared" si="9"/>
        <v>1.0011265228310113</v>
      </c>
      <c r="O91" s="8"/>
      <c r="P91" s="8"/>
      <c r="Q91" s="8"/>
      <c r="R91" s="8"/>
      <c r="S91" s="8"/>
    </row>
    <row r="92" spans="1:19" s="5" customFormat="1" ht="13.2" x14ac:dyDescent="0.3">
      <c r="A92" s="6"/>
      <c r="E92" s="5">
        <v>90</v>
      </c>
      <c r="F92" s="5">
        <f t="shared" si="10"/>
        <v>90</v>
      </c>
      <c r="G92" s="8">
        <f t="shared" si="12"/>
        <v>3.1763510180142784E-2</v>
      </c>
      <c r="H92" s="8">
        <f t="shared" si="13"/>
        <v>499.47116808226446</v>
      </c>
      <c r="I92" s="8">
        <f t="shared" si="11"/>
        <v>0</v>
      </c>
      <c r="J92" s="8">
        <f t="shared" si="14"/>
        <v>1000</v>
      </c>
      <c r="K92" s="8">
        <f t="shared" si="15"/>
        <v>2.0021175673453424</v>
      </c>
      <c r="L92" s="8">
        <f t="shared" si="16"/>
        <v>50.000000000000014</v>
      </c>
      <c r="M92" s="8">
        <f t="shared" si="17"/>
        <v>100.10587836726715</v>
      </c>
      <c r="N92" s="8">
        <f t="shared" si="9"/>
        <v>1.0010587836726714</v>
      </c>
      <c r="O92" s="8"/>
      <c r="P92" s="8"/>
      <c r="Q92" s="8"/>
      <c r="R92" s="8"/>
      <c r="S92" s="8"/>
    </row>
    <row r="93" spans="1:19" s="5" customFormat="1" ht="13.2" x14ac:dyDescent="0.3">
      <c r="A93" s="6"/>
      <c r="E93" s="5">
        <v>91</v>
      </c>
      <c r="F93" s="5">
        <f t="shared" si="10"/>
        <v>91</v>
      </c>
      <c r="G93" s="8">
        <f t="shared" si="12"/>
        <v>2.9853783198270367E-2</v>
      </c>
      <c r="H93" s="8">
        <f t="shared" si="13"/>
        <v>499.50293159244461</v>
      </c>
      <c r="I93" s="8">
        <f t="shared" si="11"/>
        <v>0</v>
      </c>
      <c r="J93" s="8">
        <f t="shared" si="14"/>
        <v>1000</v>
      </c>
      <c r="K93" s="8">
        <f t="shared" si="15"/>
        <v>2.001990252213218</v>
      </c>
      <c r="L93" s="8">
        <f t="shared" si="16"/>
        <v>50</v>
      </c>
      <c r="M93" s="8">
        <f t="shared" si="17"/>
        <v>100.0995126106609</v>
      </c>
      <c r="N93" s="8">
        <f t="shared" si="9"/>
        <v>1.000995126106609</v>
      </c>
      <c r="O93" s="8"/>
      <c r="P93" s="8"/>
      <c r="Q93" s="8"/>
      <c r="R93" s="8"/>
      <c r="S93" s="8"/>
    </row>
    <row r="94" spans="1:19" s="5" customFormat="1" ht="13.2" x14ac:dyDescent="0.3">
      <c r="A94" s="6"/>
      <c r="E94" s="5">
        <v>92</v>
      </c>
      <c r="F94" s="5">
        <f t="shared" si="10"/>
        <v>92</v>
      </c>
      <c r="G94" s="8">
        <f t="shared" si="12"/>
        <v>2.8059096702075514E-2</v>
      </c>
      <c r="H94" s="8">
        <f t="shared" si="13"/>
        <v>499.5327853756429</v>
      </c>
      <c r="I94" s="8">
        <f t="shared" si="11"/>
        <v>0</v>
      </c>
      <c r="J94" s="8">
        <f t="shared" si="14"/>
        <v>1000</v>
      </c>
      <c r="K94" s="8">
        <f t="shared" si="15"/>
        <v>2.001870606446805</v>
      </c>
      <c r="L94" s="8">
        <f t="shared" si="16"/>
        <v>50</v>
      </c>
      <c r="M94" s="8">
        <f t="shared" si="17"/>
        <v>100.09353032234026</v>
      </c>
      <c r="N94" s="8">
        <f t="shared" si="9"/>
        <v>1.0009353032234025</v>
      </c>
      <c r="O94" s="8"/>
      <c r="P94" s="8"/>
      <c r="Q94" s="8"/>
      <c r="R94" s="8"/>
      <c r="S94" s="8"/>
    </row>
    <row r="95" spans="1:19" s="5" customFormat="1" ht="13.2" x14ac:dyDescent="0.3">
      <c r="A95" s="6"/>
      <c r="E95" s="5">
        <v>93</v>
      </c>
      <c r="F95" s="5">
        <f t="shared" si="10"/>
        <v>93</v>
      </c>
      <c r="G95" s="8">
        <f t="shared" si="12"/>
        <v>2.6372494913144973E-2</v>
      </c>
      <c r="H95" s="8">
        <f t="shared" si="13"/>
        <v>499.56084447234497</v>
      </c>
      <c r="I95" s="8">
        <f t="shared" si="11"/>
        <v>0</v>
      </c>
      <c r="J95" s="8">
        <f t="shared" si="14"/>
        <v>1000</v>
      </c>
      <c r="K95" s="8">
        <f t="shared" si="15"/>
        <v>2.0017581663275426</v>
      </c>
      <c r="L95" s="8">
        <f t="shared" si="16"/>
        <v>50.000000000000014</v>
      </c>
      <c r="M95" s="8">
        <f t="shared" si="17"/>
        <v>100.08790831637715</v>
      </c>
      <c r="N95" s="8">
        <f t="shared" si="9"/>
        <v>1.0008790831637715</v>
      </c>
      <c r="O95" s="8"/>
      <c r="P95" s="8"/>
      <c r="Q95" s="8"/>
      <c r="R95" s="8"/>
      <c r="S95" s="8"/>
    </row>
    <row r="96" spans="1:19" s="5" customFormat="1" ht="13.2" x14ac:dyDescent="0.3">
      <c r="A96" s="6"/>
      <c r="E96" s="5">
        <v>94</v>
      </c>
      <c r="F96" s="5">
        <f t="shared" si="10"/>
        <v>94</v>
      </c>
      <c r="G96" s="8">
        <f t="shared" si="12"/>
        <v>2.4787445638485561E-2</v>
      </c>
      <c r="H96" s="8">
        <f t="shared" si="13"/>
        <v>499.58721696725809</v>
      </c>
      <c r="I96" s="8">
        <f t="shared" si="11"/>
        <v>0</v>
      </c>
      <c r="J96" s="8">
        <f t="shared" si="14"/>
        <v>1000</v>
      </c>
      <c r="K96" s="8">
        <f t="shared" si="15"/>
        <v>2.001652496375899</v>
      </c>
      <c r="L96" s="8">
        <f t="shared" si="16"/>
        <v>50</v>
      </c>
      <c r="M96" s="8">
        <f t="shared" si="17"/>
        <v>100.08262481879495</v>
      </c>
      <c r="N96" s="8">
        <f t="shared" si="9"/>
        <v>1.0008262481879495</v>
      </c>
      <c r="O96" s="8"/>
      <c r="P96" s="8"/>
      <c r="Q96" s="8"/>
      <c r="R96" s="8"/>
      <c r="S96" s="8"/>
    </row>
    <row r="97" spans="1:19" s="5" customFormat="1" ht="13.2" x14ac:dyDescent="0.3">
      <c r="A97" s="6"/>
      <c r="E97" s="5">
        <v>95</v>
      </c>
      <c r="F97" s="5">
        <f t="shared" si="10"/>
        <v>95</v>
      </c>
      <c r="G97" s="8">
        <f t="shared" si="12"/>
        <v>2.3297814124345617E-2</v>
      </c>
      <c r="H97" s="8">
        <f t="shared" si="13"/>
        <v>499.61200441289657</v>
      </c>
      <c r="I97" s="8">
        <f t="shared" si="11"/>
        <v>0</v>
      </c>
      <c r="J97" s="8">
        <f t="shared" si="14"/>
        <v>1000</v>
      </c>
      <c r="K97" s="8">
        <f t="shared" si="15"/>
        <v>2.0015531876082897</v>
      </c>
      <c r="L97" s="8">
        <f t="shared" si="16"/>
        <v>50</v>
      </c>
      <c r="M97" s="8">
        <f t="shared" si="17"/>
        <v>100.07765938041449</v>
      </c>
      <c r="N97" s="8">
        <f t="shared" si="9"/>
        <v>1.0007765938041449</v>
      </c>
      <c r="O97" s="8"/>
      <c r="P97" s="8"/>
      <c r="Q97" s="8"/>
      <c r="R97" s="8"/>
      <c r="S97" s="8"/>
    </row>
    <row r="98" spans="1:19" s="5" customFormat="1" ht="13.2" x14ac:dyDescent="0.3">
      <c r="A98" s="6"/>
      <c r="E98" s="5">
        <v>96</v>
      </c>
      <c r="F98" s="5">
        <f t="shared" si="10"/>
        <v>96</v>
      </c>
      <c r="G98" s="8">
        <f t="shared" si="12"/>
        <v>2.1897838564659544E-2</v>
      </c>
      <c r="H98" s="8">
        <f t="shared" si="13"/>
        <v>499.63530222702093</v>
      </c>
      <c r="I98" s="8">
        <f t="shared" si="11"/>
        <v>0</v>
      </c>
      <c r="J98" s="8">
        <f t="shared" si="14"/>
        <v>1000</v>
      </c>
      <c r="K98" s="8">
        <f t="shared" si="15"/>
        <v>2.0014598559043106</v>
      </c>
      <c r="L98" s="8">
        <f t="shared" si="16"/>
        <v>50</v>
      </c>
      <c r="M98" s="8">
        <f t="shared" si="17"/>
        <v>100.07299279521553</v>
      </c>
      <c r="N98" s="8">
        <f t="shared" si="9"/>
        <v>1.0007299279521553</v>
      </c>
      <c r="O98" s="8"/>
      <c r="P98" s="8"/>
      <c r="Q98" s="8"/>
      <c r="R98" s="8"/>
      <c r="S98" s="8"/>
    </row>
    <row r="99" spans="1:19" s="5" customFormat="1" ht="13.2" x14ac:dyDescent="0.3">
      <c r="A99" s="6"/>
      <c r="E99" s="5">
        <v>97</v>
      </c>
      <c r="F99" s="5">
        <f t="shared" si="10"/>
        <v>97</v>
      </c>
      <c r="G99" s="8">
        <f t="shared" si="12"/>
        <v>2.0582107154829554E-2</v>
      </c>
      <c r="H99" s="8">
        <f t="shared" si="13"/>
        <v>499.65720006558558</v>
      </c>
      <c r="I99" s="8">
        <f t="shared" si="11"/>
        <v>0</v>
      </c>
      <c r="J99" s="8">
        <f t="shared" si="14"/>
        <v>1000</v>
      </c>
      <c r="K99" s="8">
        <f t="shared" si="15"/>
        <v>2.0013721404769886</v>
      </c>
      <c r="L99" s="8">
        <f t="shared" si="16"/>
        <v>50</v>
      </c>
      <c r="M99" s="8">
        <f t="shared" si="17"/>
        <v>100.06860702384944</v>
      </c>
      <c r="N99" s="8">
        <f t="shared" si="9"/>
        <v>1.0006860702384943</v>
      </c>
      <c r="O99" s="8"/>
      <c r="P99" s="8"/>
      <c r="Q99" s="8"/>
      <c r="R99" s="8"/>
      <c r="S99" s="8"/>
    </row>
    <row r="100" spans="1:19" s="5" customFormat="1" ht="13.2" x14ac:dyDescent="0.3">
      <c r="A100" s="6"/>
      <c r="E100" s="5">
        <v>98</v>
      </c>
      <c r="F100" s="5">
        <f t="shared" si="10"/>
        <v>98</v>
      </c>
      <c r="G100" s="8">
        <f t="shared" si="12"/>
        <v>1.9345536589112644E-2</v>
      </c>
      <c r="H100" s="8">
        <f t="shared" si="13"/>
        <v>499.67778217274042</v>
      </c>
      <c r="I100" s="8">
        <f t="shared" si="11"/>
        <v>0</v>
      </c>
      <c r="J100" s="8">
        <f t="shared" si="14"/>
        <v>1000</v>
      </c>
      <c r="K100" s="8">
        <f t="shared" si="15"/>
        <v>2.0012897024392737</v>
      </c>
      <c r="L100" s="8">
        <f t="shared" si="16"/>
        <v>50.000000000000014</v>
      </c>
      <c r="M100" s="8">
        <f t="shared" si="17"/>
        <v>100.06448512196371</v>
      </c>
      <c r="N100" s="8">
        <f t="shared" si="9"/>
        <v>1.0006448512196371</v>
      </c>
      <c r="O100" s="8"/>
      <c r="P100" s="8"/>
      <c r="Q100" s="8"/>
      <c r="R100" s="8"/>
      <c r="S100" s="8"/>
    </row>
    <row r="101" spans="1:19" s="5" customFormat="1" ht="13.2" x14ac:dyDescent="0.3">
      <c r="A101" s="6"/>
      <c r="E101" s="5">
        <v>99</v>
      </c>
      <c r="F101" s="5">
        <f t="shared" si="10"/>
        <v>99</v>
      </c>
      <c r="G101" s="8">
        <f t="shared" si="12"/>
        <v>1.8183351907115064E-2</v>
      </c>
      <c r="H101" s="8">
        <f t="shared" si="13"/>
        <v>499.69712770932955</v>
      </c>
      <c r="I101" s="8">
        <f t="shared" si="11"/>
        <v>0</v>
      </c>
      <c r="J101" s="8">
        <f t="shared" si="14"/>
        <v>1000</v>
      </c>
      <c r="K101" s="8">
        <f t="shared" si="15"/>
        <v>2.0012122234604743</v>
      </c>
      <c r="L101" s="8">
        <f t="shared" si="16"/>
        <v>50</v>
      </c>
      <c r="M101" s="8">
        <f t="shared" si="17"/>
        <v>100.06061117302372</v>
      </c>
      <c r="N101" s="8">
        <f t="shared" si="9"/>
        <v>1.0006061117302372</v>
      </c>
      <c r="O101" s="8"/>
      <c r="P101" s="8"/>
      <c r="Q101" s="8"/>
      <c r="R101" s="8"/>
      <c r="S101" s="8"/>
    </row>
    <row r="102" spans="1:19" s="5" customFormat="1" ht="13.2" x14ac:dyDescent="0.3">
      <c r="A102" s="6"/>
      <c r="E102" s="5">
        <v>100</v>
      </c>
      <c r="F102" s="5">
        <f t="shared" si="10"/>
        <v>100</v>
      </c>
      <c r="G102" s="8">
        <f t="shared" si="12"/>
        <v>1.7091067601591181E-2</v>
      </c>
      <c r="H102" s="8">
        <f t="shared" si="13"/>
        <v>499.71531106123666</v>
      </c>
      <c r="I102" s="8">
        <f t="shared" si="11"/>
        <v>0</v>
      </c>
      <c r="J102" s="8">
        <f t="shared" si="14"/>
        <v>1000</v>
      </c>
      <c r="K102" s="8">
        <f t="shared" si="15"/>
        <v>2.0011394045067732</v>
      </c>
      <c r="L102" s="8">
        <f t="shared" si="16"/>
        <v>49.999999999999993</v>
      </c>
      <c r="M102" s="8">
        <f t="shared" si="17"/>
        <v>100.05697022533865</v>
      </c>
      <c r="N102" s="8">
        <f t="shared" si="9"/>
        <v>1.0005697022533864</v>
      </c>
    </row>
    <row r="103" spans="1:19" s="5" customFormat="1" ht="13.2" x14ac:dyDescent="0.3">
      <c r="A103" s="6"/>
      <c r="E103" s="5">
        <v>101</v>
      </c>
      <c r="F103" s="5">
        <f t="shared" si="10"/>
        <v>101</v>
      </c>
      <c r="G103" s="8">
        <f t="shared" si="12"/>
        <v>1.6064469905598955E-2</v>
      </c>
      <c r="H103" s="8">
        <f t="shared" si="13"/>
        <v>499.73240212883826</v>
      </c>
      <c r="I103" s="8">
        <f t="shared" si="11"/>
        <v>0</v>
      </c>
      <c r="J103" s="8">
        <f t="shared" si="14"/>
        <v>1000</v>
      </c>
      <c r="K103" s="8">
        <f t="shared" si="15"/>
        <v>2.0010709646603733</v>
      </c>
      <c r="L103" s="8">
        <f t="shared" si="16"/>
        <v>50</v>
      </c>
      <c r="M103" s="8">
        <f t="shared" si="17"/>
        <v>100.05354823301866</v>
      </c>
      <c r="N103" s="8">
        <f t="shared" si="9"/>
        <v>1.0005354823301866</v>
      </c>
    </row>
    <row r="104" spans="1:19" s="5" customFormat="1" ht="13.2" x14ac:dyDescent="0.3">
      <c r="A104" s="6"/>
      <c r="E104" s="5">
        <v>102</v>
      </c>
      <c r="F104" s="5">
        <f t="shared" si="10"/>
        <v>102</v>
      </c>
      <c r="G104" s="8">
        <f t="shared" si="12"/>
        <v>1.5099600182952866E-2</v>
      </c>
      <c r="H104" s="8">
        <f t="shared" si="13"/>
        <v>499.74846659874385</v>
      </c>
      <c r="I104" s="8">
        <f t="shared" si="11"/>
        <v>0</v>
      </c>
      <c r="J104" s="8">
        <f t="shared" si="14"/>
        <v>1000</v>
      </c>
      <c r="K104" s="8">
        <f t="shared" si="15"/>
        <v>2.0010066400121969</v>
      </c>
      <c r="L104" s="8">
        <f t="shared" si="16"/>
        <v>50</v>
      </c>
      <c r="M104" s="8">
        <f t="shared" si="17"/>
        <v>100.05033200060984</v>
      </c>
      <c r="N104" s="8">
        <f t="shared" si="9"/>
        <v>1.0005033200060984</v>
      </c>
    </row>
    <row r="105" spans="1:19" s="5" customFormat="1" ht="13.2" x14ac:dyDescent="0.3">
      <c r="A105" s="6"/>
      <c r="E105" s="5">
        <v>103</v>
      </c>
      <c r="F105" s="5">
        <f t="shared" si="10"/>
        <v>103</v>
      </c>
      <c r="G105" s="8">
        <f t="shared" si="12"/>
        <v>1.4192739351017725E-2</v>
      </c>
      <c r="H105" s="8">
        <f t="shared" si="13"/>
        <v>499.76356619892681</v>
      </c>
      <c r="I105" s="8">
        <f t="shared" si="11"/>
        <v>0</v>
      </c>
      <c r="J105" s="8">
        <f t="shared" si="14"/>
        <v>1000</v>
      </c>
      <c r="K105" s="8">
        <f t="shared" si="15"/>
        <v>2.0009461826234012</v>
      </c>
      <c r="L105" s="8">
        <f t="shared" si="16"/>
        <v>50</v>
      </c>
      <c r="M105" s="8">
        <f t="shared" si="17"/>
        <v>100.04730913117005</v>
      </c>
      <c r="N105" s="8">
        <f t="shared" si="9"/>
        <v>1.0004730913117006</v>
      </c>
    </row>
    <row r="106" spans="1:19" s="5" customFormat="1" ht="13.2" x14ac:dyDescent="0.3">
      <c r="A106" s="6"/>
      <c r="E106" s="5">
        <v>104</v>
      </c>
      <c r="F106" s="5">
        <f t="shared" si="10"/>
        <v>104</v>
      </c>
      <c r="G106" s="8">
        <f t="shared" si="12"/>
        <v>1.3340393269662965E-2</v>
      </c>
      <c r="H106" s="8">
        <f t="shared" si="13"/>
        <v>499.77775893827783</v>
      </c>
      <c r="I106" s="8">
        <f t="shared" si="11"/>
        <v>0</v>
      </c>
      <c r="J106" s="8">
        <f t="shared" si="14"/>
        <v>1000</v>
      </c>
      <c r="K106" s="8">
        <f t="shared" si="15"/>
        <v>2.0008893595513104</v>
      </c>
      <c r="L106" s="8">
        <f t="shared" si="16"/>
        <v>50.000000000000014</v>
      </c>
      <c r="M106" s="8">
        <f t="shared" si="17"/>
        <v>100.04446797756555</v>
      </c>
      <c r="N106" s="8">
        <f t="shared" si="9"/>
        <v>1.0004446797756554</v>
      </c>
    </row>
    <row r="107" spans="1:19" s="5" customFormat="1" ht="13.2" x14ac:dyDescent="0.3">
      <c r="A107" s="6"/>
      <c r="E107" s="5">
        <v>105</v>
      </c>
      <c r="F107" s="5">
        <f t="shared" si="10"/>
        <v>105</v>
      </c>
      <c r="G107" s="8">
        <f t="shared" si="12"/>
        <v>1.2539279034693429E-2</v>
      </c>
      <c r="H107" s="8">
        <f t="shared" si="13"/>
        <v>499.79109933154751</v>
      </c>
      <c r="I107" s="8">
        <f t="shared" si="11"/>
        <v>0</v>
      </c>
      <c r="J107" s="8">
        <f t="shared" si="14"/>
        <v>1000</v>
      </c>
      <c r="K107" s="8">
        <f t="shared" si="15"/>
        <v>2.0008359519356462</v>
      </c>
      <c r="L107" s="8">
        <f t="shared" si="16"/>
        <v>50</v>
      </c>
      <c r="M107" s="8">
        <f t="shared" si="17"/>
        <v>100.04179759678232</v>
      </c>
      <c r="N107" s="8">
        <f t="shared" si="9"/>
        <v>1.0004179759678231</v>
      </c>
    </row>
    <row r="108" spans="1:19" s="5" customFormat="1" ht="13.2" x14ac:dyDescent="0.3">
      <c r="A108" s="6"/>
      <c r="E108" s="5">
        <v>106</v>
      </c>
      <c r="F108" s="5">
        <f t="shared" si="10"/>
        <v>106</v>
      </c>
      <c r="G108" s="8">
        <f t="shared" si="12"/>
        <v>1.1786312118315934E-2</v>
      </c>
      <c r="H108" s="8">
        <f t="shared" si="13"/>
        <v>499.8036386105822</v>
      </c>
      <c r="I108" s="8">
        <f t="shared" si="11"/>
        <v>0</v>
      </c>
      <c r="J108" s="8">
        <f t="shared" si="14"/>
        <v>1000</v>
      </c>
      <c r="K108" s="8">
        <f t="shared" si="15"/>
        <v>2.0007857541412211</v>
      </c>
      <c r="L108" s="8">
        <f t="shared" si="16"/>
        <v>50</v>
      </c>
      <c r="M108" s="8">
        <f t="shared" si="17"/>
        <v>100.03928770706105</v>
      </c>
      <c r="N108" s="8">
        <f t="shared" si="9"/>
        <v>1.0003928770706105</v>
      </c>
    </row>
    <row r="109" spans="1:19" s="5" customFormat="1" ht="13.2" x14ac:dyDescent="0.3">
      <c r="A109" s="6"/>
      <c r="E109" s="5">
        <v>107</v>
      </c>
      <c r="F109" s="5">
        <f t="shared" si="10"/>
        <v>107</v>
      </c>
      <c r="G109" s="8">
        <f t="shared" si="12"/>
        <v>1.1078594302764699E-2</v>
      </c>
      <c r="H109" s="8">
        <f t="shared" si="13"/>
        <v>499.81542492270052</v>
      </c>
      <c r="I109" s="8">
        <f t="shared" si="11"/>
        <v>0</v>
      </c>
      <c r="J109" s="8">
        <f t="shared" si="14"/>
        <v>1000</v>
      </c>
      <c r="K109" s="8">
        <f t="shared" si="15"/>
        <v>2.0007385729535181</v>
      </c>
      <c r="L109" s="8">
        <f t="shared" si="16"/>
        <v>49.999999999999993</v>
      </c>
      <c r="M109" s="8">
        <f t="shared" si="17"/>
        <v>100.03692864767589</v>
      </c>
      <c r="N109" s="8">
        <f t="shared" si="9"/>
        <v>1.0003692864767588</v>
      </c>
    </row>
    <row r="110" spans="1:19" s="5" customFormat="1" ht="13.2" x14ac:dyDescent="0.3">
      <c r="A110" s="6"/>
      <c r="E110" s="5">
        <v>108</v>
      </c>
      <c r="F110" s="5">
        <f t="shared" si="10"/>
        <v>108</v>
      </c>
      <c r="G110" s="8">
        <f t="shared" si="12"/>
        <v>1.0413402357172252E-2</v>
      </c>
      <c r="H110" s="8">
        <f t="shared" si="13"/>
        <v>499.82650351700329</v>
      </c>
      <c r="I110" s="8">
        <f t="shared" si="11"/>
        <v>0</v>
      </c>
      <c r="J110" s="8">
        <f t="shared" si="14"/>
        <v>1000</v>
      </c>
      <c r="K110" s="8">
        <f t="shared" si="15"/>
        <v>2.0006942268238115</v>
      </c>
      <c r="L110" s="8">
        <f t="shared" si="16"/>
        <v>50</v>
      </c>
      <c r="M110" s="8">
        <f t="shared" si="17"/>
        <v>100.03471134119057</v>
      </c>
      <c r="N110" s="8">
        <f t="shared" si="9"/>
        <v>1.0003471134119057</v>
      </c>
    </row>
    <row r="111" spans="1:19" s="5" customFormat="1" ht="13.2" x14ac:dyDescent="0.3">
      <c r="A111" s="6"/>
      <c r="E111" s="5">
        <v>109</v>
      </c>
      <c r="F111" s="5">
        <f t="shared" si="10"/>
        <v>109</v>
      </c>
      <c r="G111" s="8">
        <f t="shared" si="12"/>
        <v>9.7881774106234332E-3</v>
      </c>
      <c r="H111" s="8">
        <f t="shared" si="13"/>
        <v>499.83691691936048</v>
      </c>
      <c r="I111" s="8">
        <f t="shared" si="11"/>
        <v>0</v>
      </c>
      <c r="J111" s="8">
        <f t="shared" si="14"/>
        <v>1000</v>
      </c>
      <c r="K111" s="8">
        <f t="shared" si="15"/>
        <v>2.0006525451607082</v>
      </c>
      <c r="L111" s="8">
        <f t="shared" si="16"/>
        <v>50</v>
      </c>
      <c r="M111" s="8">
        <f t="shared" si="17"/>
        <v>100.0326272580354</v>
      </c>
      <c r="N111" s="8">
        <f t="shared" si="9"/>
        <v>1.0003262725803541</v>
      </c>
    </row>
    <row r="112" spans="1:19" s="5" customFormat="1" ht="13.2" x14ac:dyDescent="0.3">
      <c r="A112" s="6"/>
      <c r="E112" s="5">
        <v>110</v>
      </c>
      <c r="F112" s="5">
        <f t="shared" si="10"/>
        <v>110</v>
      </c>
      <c r="G112" s="8">
        <f t="shared" si="12"/>
        <v>9.2005149778406903E-3</v>
      </c>
      <c r="H112" s="8">
        <f t="shared" si="13"/>
        <v>499.84670509677107</v>
      </c>
      <c r="I112" s="8">
        <f t="shared" si="11"/>
        <v>0</v>
      </c>
      <c r="J112" s="8">
        <f t="shared" si="14"/>
        <v>1000</v>
      </c>
      <c r="K112" s="8">
        <f t="shared" si="15"/>
        <v>2.0006133676651894</v>
      </c>
      <c r="L112" s="8">
        <f t="shared" si="16"/>
        <v>50</v>
      </c>
      <c r="M112" s="8">
        <f t="shared" si="17"/>
        <v>100.03066838325947</v>
      </c>
      <c r="N112" s="8">
        <f t="shared" si="9"/>
        <v>1.0003066838325947</v>
      </c>
    </row>
    <row r="113" spans="1:14" s="5" customFormat="1" ht="13.2" x14ac:dyDescent="0.3">
      <c r="A113" s="6"/>
      <c r="E113" s="5">
        <v>111</v>
      </c>
      <c r="F113" s="5">
        <f t="shared" si="10"/>
        <v>111</v>
      </c>
      <c r="G113" s="8">
        <f t="shared" si="12"/>
        <v>8.6481555964401657E-3</v>
      </c>
      <c r="H113" s="8">
        <f t="shared" si="13"/>
        <v>499.85590561174894</v>
      </c>
      <c r="I113" s="8">
        <f t="shared" si="11"/>
        <v>0</v>
      </c>
      <c r="J113" s="8">
        <f t="shared" si="14"/>
        <v>1000</v>
      </c>
      <c r="K113" s="8">
        <f t="shared" si="15"/>
        <v>2.0005765437064298</v>
      </c>
      <c r="L113" s="8">
        <f t="shared" si="16"/>
        <v>49.999999999999993</v>
      </c>
      <c r="M113" s="8">
        <f t="shared" si="17"/>
        <v>100.02882718532148</v>
      </c>
      <c r="N113" s="8">
        <f t="shared" si="9"/>
        <v>1.0002882718532147</v>
      </c>
    </row>
    <row r="114" spans="1:14" s="5" customFormat="1" ht="13.2" x14ac:dyDescent="0.3">
      <c r="A114" s="6"/>
      <c r="E114" s="5">
        <v>112</v>
      </c>
      <c r="F114" s="5">
        <f t="shared" si="10"/>
        <v>112</v>
      </c>
      <c r="G114" s="8">
        <f t="shared" si="12"/>
        <v>8.1289760376357378E-3</v>
      </c>
      <c r="H114" s="8">
        <f t="shared" si="13"/>
        <v>499.8645537673454</v>
      </c>
      <c r="I114" s="8">
        <f t="shared" si="11"/>
        <v>0</v>
      </c>
      <c r="J114" s="8">
        <f t="shared" si="14"/>
        <v>1000</v>
      </c>
      <c r="K114" s="8">
        <f t="shared" si="15"/>
        <v>2.0005419317358424</v>
      </c>
      <c r="L114" s="8">
        <f t="shared" si="16"/>
        <v>50</v>
      </c>
      <c r="M114" s="8">
        <f t="shared" si="17"/>
        <v>100.02709658679211</v>
      </c>
      <c r="N114" s="8">
        <f t="shared" si="9"/>
        <v>1.0002709658679212</v>
      </c>
    </row>
    <row r="115" spans="1:14" s="5" customFormat="1" ht="13.2" x14ac:dyDescent="0.3">
      <c r="A115" s="6"/>
      <c r="E115" s="5">
        <v>113</v>
      </c>
      <c r="F115" s="5">
        <f t="shared" si="10"/>
        <v>113</v>
      </c>
      <c r="G115" s="8">
        <f t="shared" si="12"/>
        <v>7.6409810545130519E-3</v>
      </c>
      <c r="H115" s="8">
        <f t="shared" si="13"/>
        <v>499.87268274338305</v>
      </c>
      <c r="I115" s="8">
        <f t="shared" si="11"/>
        <v>0</v>
      </c>
      <c r="J115" s="8">
        <f t="shared" si="14"/>
        <v>1000</v>
      </c>
      <c r="K115" s="8">
        <f t="shared" si="15"/>
        <v>2.0005093987369671</v>
      </c>
      <c r="L115" s="8">
        <f t="shared" si="16"/>
        <v>50.000000000000014</v>
      </c>
      <c r="M115" s="8">
        <f t="shared" si="17"/>
        <v>100.02546993684838</v>
      </c>
      <c r="N115" s="8">
        <f t="shared" si="9"/>
        <v>1.0002546993684838</v>
      </c>
    </row>
    <row r="116" spans="1:14" s="5" customFormat="1" ht="13.2" x14ac:dyDescent="0.3">
      <c r="A116" s="6"/>
      <c r="E116" s="5">
        <v>114</v>
      </c>
      <c r="F116" s="5">
        <f t="shared" si="10"/>
        <v>114</v>
      </c>
      <c r="G116" s="8">
        <f t="shared" si="12"/>
        <v>7.182295634533542E-3</v>
      </c>
      <c r="H116" s="8">
        <f t="shared" si="13"/>
        <v>499.88032372443757</v>
      </c>
      <c r="I116" s="8">
        <f t="shared" si="11"/>
        <v>0</v>
      </c>
      <c r="J116" s="8">
        <f t="shared" si="14"/>
        <v>1000</v>
      </c>
      <c r="K116" s="8">
        <f t="shared" si="15"/>
        <v>2.0004788197089685</v>
      </c>
      <c r="L116" s="8">
        <f t="shared" si="16"/>
        <v>50.000000000000014</v>
      </c>
      <c r="M116" s="8">
        <f t="shared" si="17"/>
        <v>100.02394098544845</v>
      </c>
      <c r="N116" s="8">
        <f t="shared" si="9"/>
        <v>1.0002394098544845</v>
      </c>
    </row>
    <row r="117" spans="1:14" s="5" customFormat="1" ht="13.2" x14ac:dyDescent="0.3">
      <c r="A117" s="6"/>
      <c r="E117" s="5">
        <v>115</v>
      </c>
      <c r="F117" s="5">
        <f t="shared" si="10"/>
        <v>115</v>
      </c>
      <c r="G117" s="8">
        <f t="shared" si="12"/>
        <v>6.7511577248868804E-3</v>
      </c>
      <c r="H117" s="8">
        <f t="shared" si="13"/>
        <v>499.88750602007212</v>
      </c>
      <c r="I117" s="8">
        <f t="shared" si="11"/>
        <v>0</v>
      </c>
      <c r="J117" s="8">
        <f t="shared" si="14"/>
        <v>1000</v>
      </c>
      <c r="K117" s="8">
        <f t="shared" si="15"/>
        <v>2.0004500771816582</v>
      </c>
      <c r="L117" s="8">
        <f t="shared" si="16"/>
        <v>50.000000000000014</v>
      </c>
      <c r="M117" s="8">
        <f t="shared" si="17"/>
        <v>100.02250385908295</v>
      </c>
      <c r="N117" s="8">
        <f t="shared" si="9"/>
        <v>1.0002250385908296</v>
      </c>
    </row>
    <row r="118" spans="1:14" s="5" customFormat="1" ht="13.2" x14ac:dyDescent="0.3">
      <c r="A118" s="6"/>
      <c r="E118" s="5">
        <v>116</v>
      </c>
      <c r="F118" s="5">
        <f t="shared" si="10"/>
        <v>116</v>
      </c>
      <c r="G118" s="8">
        <f t="shared" si="12"/>
        <v>6.345911401341997E-3</v>
      </c>
      <c r="H118" s="8">
        <f t="shared" si="13"/>
        <v>499.89425717779699</v>
      </c>
      <c r="I118" s="8">
        <f t="shared" si="11"/>
        <v>0</v>
      </c>
      <c r="J118" s="8">
        <f t="shared" si="14"/>
        <v>1000</v>
      </c>
      <c r="K118" s="8">
        <f t="shared" si="15"/>
        <v>2.0004230607600895</v>
      </c>
      <c r="L118" s="8">
        <f t="shared" si="16"/>
        <v>50</v>
      </c>
      <c r="M118" s="8">
        <f t="shared" si="17"/>
        <v>100.02115303800447</v>
      </c>
      <c r="N118" s="8">
        <f t="shared" si="9"/>
        <v>1.0002115303800447</v>
      </c>
    </row>
    <row r="119" spans="1:14" s="5" customFormat="1" ht="13.2" x14ac:dyDescent="0.3">
      <c r="A119" s="6"/>
      <c r="E119" s="5">
        <v>117</v>
      </c>
      <c r="F119" s="5">
        <f t="shared" si="10"/>
        <v>117</v>
      </c>
      <c r="G119" s="8">
        <f t="shared" si="12"/>
        <v>5.9650004533384759E-3</v>
      </c>
      <c r="H119" s="8">
        <f t="shared" si="13"/>
        <v>499.90060308919834</v>
      </c>
      <c r="I119" s="8">
        <f t="shared" si="11"/>
        <v>0</v>
      </c>
      <c r="J119" s="8">
        <f t="shared" si="14"/>
        <v>1000</v>
      </c>
      <c r="K119" s="8">
        <f t="shared" si="15"/>
        <v>2.0003976666968892</v>
      </c>
      <c r="L119" s="8">
        <f t="shared" si="16"/>
        <v>49.999999999999993</v>
      </c>
      <c r="M119" s="8">
        <f t="shared" si="17"/>
        <v>100.01988333484445</v>
      </c>
      <c r="N119" s="8">
        <f t="shared" si="9"/>
        <v>1.0001988333484446</v>
      </c>
    </row>
    <row r="120" spans="1:14" s="5" customFormat="1" ht="13.2" x14ac:dyDescent="0.3">
      <c r="A120" s="6"/>
      <c r="E120" s="5">
        <v>118</v>
      </c>
      <c r="F120" s="5">
        <f t="shared" si="10"/>
        <v>118</v>
      </c>
      <c r="G120" s="8">
        <f t="shared" si="12"/>
        <v>5.6069623593124618E-3</v>
      </c>
      <c r="H120" s="8">
        <f t="shared" si="13"/>
        <v>499.90656808965167</v>
      </c>
      <c r="I120" s="8">
        <f t="shared" si="11"/>
        <v>0</v>
      </c>
      <c r="J120" s="8">
        <f t="shared" si="14"/>
        <v>1000</v>
      </c>
      <c r="K120" s="8">
        <f t="shared" si="15"/>
        <v>2.0003737974906204</v>
      </c>
      <c r="L120" s="8">
        <f t="shared" si="16"/>
        <v>50.000000000000014</v>
      </c>
      <c r="M120" s="8">
        <f t="shared" si="17"/>
        <v>100.01868987453105</v>
      </c>
      <c r="N120" s="8">
        <f t="shared" si="9"/>
        <v>1.0001868987453104</v>
      </c>
    </row>
    <row r="121" spans="1:14" s="5" customFormat="1" ht="13.2" x14ac:dyDescent="0.3">
      <c r="A121" s="6"/>
      <c r="E121" s="5">
        <v>119</v>
      </c>
      <c r="F121" s="5">
        <f t="shared" si="10"/>
        <v>119</v>
      </c>
      <c r="G121" s="8">
        <f t="shared" si="12"/>
        <v>5.2704226285227307E-3</v>
      </c>
      <c r="H121" s="8">
        <f t="shared" si="13"/>
        <v>499.91217505201098</v>
      </c>
      <c r="I121" s="8">
        <f t="shared" si="11"/>
        <v>0</v>
      </c>
      <c r="J121" s="8">
        <f t="shared" si="14"/>
        <v>1000</v>
      </c>
      <c r="K121" s="8">
        <f t="shared" si="15"/>
        <v>2.0003513615085686</v>
      </c>
      <c r="L121" s="8">
        <f t="shared" si="16"/>
        <v>49.999999999999993</v>
      </c>
      <c r="M121" s="8">
        <f t="shared" si="17"/>
        <v>100.01756807542841</v>
      </c>
      <c r="N121" s="8">
        <f t="shared" si="9"/>
        <v>1.0001756807542841</v>
      </c>
    </row>
    <row r="122" spans="1:14" s="5" customFormat="1" ht="13.2" x14ac:dyDescent="0.3">
      <c r="A122" s="6"/>
      <c r="E122" s="5">
        <v>120</v>
      </c>
      <c r="F122" s="5">
        <f t="shared" si="10"/>
        <v>120</v>
      </c>
      <c r="G122" s="8">
        <f t="shared" si="12"/>
        <v>4.9540894866417773E-3</v>
      </c>
      <c r="H122" s="8">
        <f t="shared" si="13"/>
        <v>499.91744547463952</v>
      </c>
      <c r="I122" s="8">
        <f t="shared" si="11"/>
        <v>0</v>
      </c>
      <c r="J122" s="8">
        <f t="shared" si="14"/>
        <v>1000</v>
      </c>
      <c r="K122" s="8">
        <f t="shared" si="15"/>
        <v>2.0003302726324428</v>
      </c>
      <c r="L122" s="8">
        <f t="shared" si="16"/>
        <v>50</v>
      </c>
      <c r="M122" s="8">
        <f t="shared" si="17"/>
        <v>100.01651363162213</v>
      </c>
      <c r="N122" s="8">
        <f t="shared" si="9"/>
        <v>1.0001651363162214</v>
      </c>
    </row>
    <row r="123" spans="1:14" s="5" customFormat="1" ht="13.2" x14ac:dyDescent="0.3">
      <c r="A123" s="6"/>
      <c r="E123" s="5">
        <v>121</v>
      </c>
      <c r="F123" s="5">
        <f t="shared" si="10"/>
        <v>121</v>
      </c>
      <c r="G123" s="8">
        <f t="shared" si="12"/>
        <v>4.6567488839155402E-3</v>
      </c>
      <c r="H123" s="8">
        <f t="shared" si="13"/>
        <v>499.92239956412618</v>
      </c>
      <c r="I123" s="8">
        <f t="shared" si="11"/>
        <v>0</v>
      </c>
      <c r="J123" s="8">
        <f t="shared" si="14"/>
        <v>1000</v>
      </c>
      <c r="K123" s="8">
        <f t="shared" si="15"/>
        <v>2.0003104499255944</v>
      </c>
      <c r="L123" s="8">
        <f t="shared" si="16"/>
        <v>50</v>
      </c>
      <c r="M123" s="8">
        <f t="shared" si="17"/>
        <v>100.01552249627971</v>
      </c>
      <c r="N123" s="8">
        <f t="shared" si="9"/>
        <v>1.0001552249627972</v>
      </c>
    </row>
    <row r="124" spans="1:14" s="5" customFormat="1" ht="13.2" x14ac:dyDescent="0.3">
      <c r="A124" s="6"/>
      <c r="E124" s="5">
        <v>122</v>
      </c>
      <c r="F124" s="5">
        <f t="shared" si="10"/>
        <v>122</v>
      </c>
      <c r="G124" s="8">
        <f t="shared" si="12"/>
        <v>4.3772598063340773E-3</v>
      </c>
      <c r="H124" s="8">
        <f t="shared" si="13"/>
        <v>499.9270563130101</v>
      </c>
      <c r="I124" s="8">
        <f t="shared" si="11"/>
        <v>0</v>
      </c>
      <c r="J124" s="8">
        <f t="shared" si="14"/>
        <v>1000</v>
      </c>
      <c r="K124" s="8">
        <f t="shared" si="15"/>
        <v>2.0002918173204223</v>
      </c>
      <c r="L124" s="8">
        <f t="shared" si="16"/>
        <v>50</v>
      </c>
      <c r="M124" s="8">
        <f t="shared" si="17"/>
        <v>100.01459086602111</v>
      </c>
      <c r="N124" s="8">
        <f t="shared" si="9"/>
        <v>1.0001459086602111</v>
      </c>
    </row>
    <row r="125" spans="1:14" s="5" customFormat="1" ht="13.2" x14ac:dyDescent="0.3">
      <c r="A125" s="6"/>
      <c r="E125" s="5">
        <v>123</v>
      </c>
      <c r="F125" s="5">
        <f t="shared" si="10"/>
        <v>123</v>
      </c>
      <c r="G125" s="8">
        <f t="shared" si="12"/>
        <v>4.1145498709815875E-3</v>
      </c>
      <c r="H125" s="8">
        <f t="shared" si="13"/>
        <v>499.93143357281645</v>
      </c>
      <c r="I125" s="8">
        <f t="shared" si="11"/>
        <v>0</v>
      </c>
      <c r="J125" s="8">
        <f t="shared" si="14"/>
        <v>1000</v>
      </c>
      <c r="K125" s="8">
        <f t="shared" si="15"/>
        <v>2.0002743033247321</v>
      </c>
      <c r="L125" s="8">
        <f t="shared" si="16"/>
        <v>50</v>
      </c>
      <c r="M125" s="8">
        <f t="shared" si="17"/>
        <v>100.01371516623661</v>
      </c>
      <c r="N125" s="8">
        <f t="shared" si="9"/>
        <v>1.0001371516623661</v>
      </c>
    </row>
    <row r="126" spans="1:14" s="5" customFormat="1" ht="13.2" x14ac:dyDescent="0.3">
      <c r="A126" s="6"/>
      <c r="E126" s="5">
        <v>124</v>
      </c>
      <c r="F126" s="5">
        <f t="shared" si="10"/>
        <v>124</v>
      </c>
      <c r="G126" s="8">
        <f t="shared" si="12"/>
        <v>3.8676111883595432E-3</v>
      </c>
      <c r="H126" s="8">
        <f t="shared" si="13"/>
        <v>499.93554812268741</v>
      </c>
      <c r="I126" s="8">
        <f t="shared" si="11"/>
        <v>0</v>
      </c>
      <c r="J126" s="8">
        <f t="shared" si="14"/>
        <v>1000</v>
      </c>
      <c r="K126" s="8">
        <f t="shared" si="15"/>
        <v>2.0002578407458906</v>
      </c>
      <c r="L126" s="8">
        <f t="shared" si="16"/>
        <v>50</v>
      </c>
      <c r="M126" s="8">
        <f t="shared" si="17"/>
        <v>100.01289203729453</v>
      </c>
      <c r="N126" s="8">
        <f t="shared" si="9"/>
        <v>1.0001289203729453</v>
      </c>
    </row>
    <row r="127" spans="1:14" s="5" customFormat="1" ht="13.2" x14ac:dyDescent="0.3">
      <c r="A127" s="6"/>
      <c r="E127" s="5">
        <v>125</v>
      </c>
      <c r="F127" s="5">
        <f t="shared" si="10"/>
        <v>125</v>
      </c>
      <c r="G127" s="8">
        <f t="shared" si="12"/>
        <v>3.6354964752227659E-3</v>
      </c>
      <c r="H127" s="8">
        <f t="shared" si="13"/>
        <v>499.93941573387576</v>
      </c>
      <c r="I127" s="8">
        <f t="shared" si="11"/>
        <v>0</v>
      </c>
      <c r="J127" s="8">
        <f t="shared" si="14"/>
        <v>1000</v>
      </c>
      <c r="K127" s="8">
        <f t="shared" si="15"/>
        <v>2.000242366431682</v>
      </c>
      <c r="L127" s="8">
        <f t="shared" si="16"/>
        <v>49.999999999999993</v>
      </c>
      <c r="M127" s="8">
        <f t="shared" si="17"/>
        <v>100.01211832158408</v>
      </c>
      <c r="N127" s="8">
        <f t="shared" si="9"/>
        <v>1.0001211832158408</v>
      </c>
    </row>
    <row r="128" spans="1:14" s="5" customFormat="1" ht="13.2" x14ac:dyDescent="0.3">
      <c r="A128" s="6"/>
      <c r="E128" s="5">
        <v>126</v>
      </c>
      <c r="F128" s="5">
        <f t="shared" si="10"/>
        <v>126</v>
      </c>
      <c r="G128" s="8">
        <f t="shared" si="12"/>
        <v>3.417315402760579E-3</v>
      </c>
      <c r="H128" s="8">
        <f t="shared" si="13"/>
        <v>499.94305123035099</v>
      </c>
      <c r="I128" s="8">
        <f t="shared" si="11"/>
        <v>0</v>
      </c>
      <c r="J128" s="8">
        <f t="shared" si="14"/>
        <v>1000</v>
      </c>
      <c r="K128" s="8">
        <f t="shared" si="15"/>
        <v>2.0002278210268503</v>
      </c>
      <c r="L128" s="8">
        <f t="shared" si="16"/>
        <v>50.000000000000014</v>
      </c>
      <c r="M128" s="8">
        <f t="shared" si="17"/>
        <v>100.01139105134254</v>
      </c>
      <c r="N128" s="8">
        <f t="shared" si="9"/>
        <v>1.0001139105134254</v>
      </c>
    </row>
    <row r="129" spans="1:14" s="5" customFormat="1" ht="13.2" x14ac:dyDescent="0.3">
      <c r="A129" s="6"/>
      <c r="E129" s="5">
        <v>127</v>
      </c>
      <c r="F129" s="5">
        <f t="shared" si="10"/>
        <v>127</v>
      </c>
      <c r="G129" s="8">
        <f t="shared" si="12"/>
        <v>3.2122311655813363E-3</v>
      </c>
      <c r="H129" s="8">
        <f t="shared" si="13"/>
        <v>499.94646854575376</v>
      </c>
      <c r="I129" s="8">
        <f t="shared" si="11"/>
        <v>0</v>
      </c>
      <c r="J129" s="8">
        <f t="shared" si="14"/>
        <v>1000</v>
      </c>
      <c r="K129" s="8">
        <f t="shared" si="15"/>
        <v>2.0002141487443725</v>
      </c>
      <c r="L129" s="8">
        <f t="shared" si="16"/>
        <v>49.999999999999993</v>
      </c>
      <c r="M129" s="8">
        <f t="shared" si="17"/>
        <v>100.01070743721861</v>
      </c>
      <c r="N129" s="8">
        <f t="shared" si="9"/>
        <v>1.000107074372186</v>
      </c>
    </row>
    <row r="130" spans="1:14" s="5" customFormat="1" ht="13.2" x14ac:dyDescent="0.3">
      <c r="A130" s="6"/>
      <c r="E130" s="5">
        <v>128</v>
      </c>
      <c r="F130" s="5">
        <f t="shared" si="10"/>
        <v>128</v>
      </c>
      <c r="G130" s="8">
        <f t="shared" si="12"/>
        <v>3.0194572583241985E-3</v>
      </c>
      <c r="H130" s="8">
        <f t="shared" si="13"/>
        <v>499.94968077691937</v>
      </c>
      <c r="I130" s="8">
        <f t="shared" si="11"/>
        <v>0</v>
      </c>
      <c r="J130" s="8">
        <f t="shared" si="14"/>
        <v>1000</v>
      </c>
      <c r="K130" s="8">
        <f t="shared" si="15"/>
        <v>2.0002012971505549</v>
      </c>
      <c r="L130" s="8">
        <f t="shared" si="16"/>
        <v>50</v>
      </c>
      <c r="M130" s="8">
        <f t="shared" si="17"/>
        <v>100.01006485752775</v>
      </c>
      <c r="N130" s="8">
        <f t="shared" ref="N130:N193" si="18">M130/$B$10</f>
        <v>1.0001006485752775</v>
      </c>
    </row>
    <row r="131" spans="1:14" s="5" customFormat="1" ht="13.2" x14ac:dyDescent="0.3">
      <c r="A131" s="6"/>
      <c r="E131" s="5">
        <v>129</v>
      </c>
      <c r="F131" s="5">
        <f t="shared" ref="F131:F194" si="19">E131*$B$2</f>
        <v>129</v>
      </c>
      <c r="G131" s="8">
        <f t="shared" si="12"/>
        <v>2.8382544468819049E-3</v>
      </c>
      <c r="H131" s="8">
        <f t="shared" si="13"/>
        <v>499.95270023417771</v>
      </c>
      <c r="I131" s="8">
        <f t="shared" ref="I131:I194" si="20">H131*$B$5*$B$2*MAX(0,1-N131)</f>
        <v>0</v>
      </c>
      <c r="J131" s="8">
        <f t="shared" si="14"/>
        <v>1000</v>
      </c>
      <c r="K131" s="8">
        <f t="shared" si="15"/>
        <v>2.0001892169631255</v>
      </c>
      <c r="L131" s="8">
        <f t="shared" si="16"/>
        <v>49.999999999999993</v>
      </c>
      <c r="M131" s="8">
        <f t="shared" si="17"/>
        <v>100.00946084815627</v>
      </c>
      <c r="N131" s="8">
        <f t="shared" si="18"/>
        <v>1.0000946084815627</v>
      </c>
    </row>
    <row r="132" spans="1:14" s="5" customFormat="1" ht="13.2" x14ac:dyDescent="0.3">
      <c r="A132" s="6"/>
      <c r="E132" s="5">
        <v>130</v>
      </c>
      <c r="F132" s="5">
        <f t="shared" si="19"/>
        <v>130</v>
      </c>
      <c r="G132" s="8">
        <f t="shared" ref="G132:G195" si="21">MAX(0,IF(N132&gt;=1,J132*$B$4*$B$2*(N132-1),0))</f>
        <v>2.6679279227437291E-3</v>
      </c>
      <c r="H132" s="8">
        <f t="shared" ref="H132:H195" si="22">H131+(G131-I131)</f>
        <v>499.9555384886246</v>
      </c>
      <c r="I132" s="8">
        <f t="shared" si="20"/>
        <v>0</v>
      </c>
      <c r="J132" s="8">
        <f t="shared" ref="J132:J195" si="23">IF(MOD(F132,3)=0,$B$6+$B$6*$B$12,IF(MOD(F132,7)=0,$B$6-$B$6*$B$12,$B$6))</f>
        <v>1000</v>
      </c>
      <c r="K132" s="8">
        <f t="shared" ref="K132:K195" si="24">MIN($B$11,J132/H132)</f>
        <v>2.0001778618615158</v>
      </c>
      <c r="L132" s="8">
        <f t="shared" ref="L132:L195" si="25">$B$8*(J132/(H132*K132))</f>
        <v>50.000000000000014</v>
      </c>
      <c r="M132" s="8">
        <f t="shared" ref="M132:M195" si="26">K132*L132</f>
        <v>100.00889309307581</v>
      </c>
      <c r="N132" s="8">
        <f t="shared" si="18"/>
        <v>1.0000889309307581</v>
      </c>
    </row>
    <row r="133" spans="1:14" s="5" customFormat="1" ht="13.2" x14ac:dyDescent="0.3">
      <c r="A133" s="6"/>
      <c r="E133" s="5">
        <v>131</v>
      </c>
      <c r="F133" s="5">
        <f t="shared" si="19"/>
        <v>131</v>
      </c>
      <c r="G133" s="8">
        <f t="shared" si="21"/>
        <v>2.5078246291143635E-3</v>
      </c>
      <c r="H133" s="8">
        <f t="shared" si="22"/>
        <v>499.95820641654734</v>
      </c>
      <c r="I133" s="8">
        <f t="shared" si="20"/>
        <v>0</v>
      </c>
      <c r="J133" s="8">
        <f t="shared" si="23"/>
        <v>1000</v>
      </c>
      <c r="K133" s="8">
        <f t="shared" si="24"/>
        <v>2.0001671883086076</v>
      </c>
      <c r="L133" s="8">
        <f t="shared" si="25"/>
        <v>50</v>
      </c>
      <c r="M133" s="8">
        <f t="shared" si="26"/>
        <v>100.00835941543038</v>
      </c>
      <c r="N133" s="8">
        <f t="shared" si="18"/>
        <v>1.0000835941543038</v>
      </c>
    </row>
    <row r="134" spans="1:14" s="5" customFormat="1" ht="13.2" x14ac:dyDescent="0.3">
      <c r="A134" s="6"/>
      <c r="E134" s="5">
        <v>132</v>
      </c>
      <c r="F134" s="5">
        <f t="shared" si="19"/>
        <v>132</v>
      </c>
      <c r="G134" s="8">
        <f t="shared" si="21"/>
        <v>2.3573307484636707E-3</v>
      </c>
      <c r="H134" s="8">
        <f t="shared" si="22"/>
        <v>499.96071424117645</v>
      </c>
      <c r="I134" s="8">
        <f t="shared" si="20"/>
        <v>0</v>
      </c>
      <c r="J134" s="8">
        <f t="shared" si="23"/>
        <v>1000</v>
      </c>
      <c r="K134" s="8">
        <f t="shared" si="24"/>
        <v>2.0001571553832314</v>
      </c>
      <c r="L134" s="8">
        <f t="shared" si="25"/>
        <v>49.999999999999993</v>
      </c>
      <c r="M134" s="8">
        <f t="shared" si="26"/>
        <v>100.00785776916155</v>
      </c>
      <c r="N134" s="8">
        <f t="shared" si="18"/>
        <v>1.0000785776916155</v>
      </c>
    </row>
    <row r="135" spans="1:14" s="5" customFormat="1" ht="13.2" x14ac:dyDescent="0.3">
      <c r="A135" s="6"/>
      <c r="E135" s="5">
        <v>133</v>
      </c>
      <c r="F135" s="5">
        <f t="shared" si="19"/>
        <v>133</v>
      </c>
      <c r="G135" s="8">
        <f t="shared" si="21"/>
        <v>2.2158693416485242E-3</v>
      </c>
      <c r="H135" s="8">
        <f t="shared" si="22"/>
        <v>499.9630715719249</v>
      </c>
      <c r="I135" s="8">
        <f t="shared" si="20"/>
        <v>0</v>
      </c>
      <c r="J135" s="8">
        <f t="shared" si="23"/>
        <v>1000</v>
      </c>
      <c r="K135" s="8">
        <f t="shared" si="24"/>
        <v>2.0001477246227766</v>
      </c>
      <c r="L135" s="8">
        <f t="shared" si="25"/>
        <v>50</v>
      </c>
      <c r="M135" s="8">
        <f t="shared" si="26"/>
        <v>100.00738623113882</v>
      </c>
      <c r="N135" s="8">
        <f t="shared" si="18"/>
        <v>1.0000738623113883</v>
      </c>
    </row>
    <row r="136" spans="1:14" s="5" customFormat="1" ht="13.2" x14ac:dyDescent="0.3">
      <c r="A136" s="6"/>
      <c r="E136" s="5">
        <v>134</v>
      </c>
      <c r="F136" s="5">
        <f t="shared" si="19"/>
        <v>134</v>
      </c>
      <c r="G136" s="8">
        <f t="shared" si="21"/>
        <v>2.082898129467381E-3</v>
      </c>
      <c r="H136" s="8">
        <f t="shared" si="22"/>
        <v>499.96528744126653</v>
      </c>
      <c r="I136" s="8">
        <f t="shared" si="20"/>
        <v>0</v>
      </c>
      <c r="J136" s="8">
        <f t="shared" si="23"/>
        <v>1000</v>
      </c>
      <c r="K136" s="8">
        <f t="shared" si="24"/>
        <v>2.0001388598752969</v>
      </c>
      <c r="L136" s="8">
        <f t="shared" si="25"/>
        <v>50.000000000000014</v>
      </c>
      <c r="M136" s="8">
        <f t="shared" si="26"/>
        <v>100.00694299376488</v>
      </c>
      <c r="N136" s="8">
        <f t="shared" si="18"/>
        <v>1.0000694299376489</v>
      </c>
    </row>
    <row r="137" spans="1:14" s="5" customFormat="1" ht="13.2" x14ac:dyDescent="0.3">
      <c r="A137" s="6"/>
      <c r="E137" s="5">
        <v>135</v>
      </c>
      <c r="F137" s="5">
        <f t="shared" si="19"/>
        <v>135</v>
      </c>
      <c r="G137" s="8">
        <f t="shared" si="21"/>
        <v>1.9579074079478787E-3</v>
      </c>
      <c r="H137" s="8">
        <f t="shared" si="22"/>
        <v>499.96737033939598</v>
      </c>
      <c r="I137" s="8">
        <f t="shared" si="20"/>
        <v>0</v>
      </c>
      <c r="J137" s="8">
        <f t="shared" si="23"/>
        <v>1000</v>
      </c>
      <c r="K137" s="8">
        <f t="shared" si="24"/>
        <v>2.0001305271605299</v>
      </c>
      <c r="L137" s="8">
        <f t="shared" si="25"/>
        <v>50</v>
      </c>
      <c r="M137" s="8">
        <f t="shared" si="26"/>
        <v>100.00652635802649</v>
      </c>
      <c r="N137" s="8">
        <f t="shared" si="18"/>
        <v>1.0000652635802649</v>
      </c>
    </row>
    <row r="138" spans="1:14" s="5" customFormat="1" ht="13.2" x14ac:dyDescent="0.3">
      <c r="A138" s="6"/>
      <c r="E138" s="5">
        <v>136</v>
      </c>
      <c r="F138" s="5">
        <f t="shared" si="19"/>
        <v>136</v>
      </c>
      <c r="G138" s="8">
        <f t="shared" si="21"/>
        <v>1.8404180894604494E-3</v>
      </c>
      <c r="H138" s="8">
        <f t="shared" si="22"/>
        <v>499.96932824680391</v>
      </c>
      <c r="I138" s="8">
        <f t="shared" si="20"/>
        <v>0</v>
      </c>
      <c r="J138" s="8">
        <f t="shared" si="23"/>
        <v>1000</v>
      </c>
      <c r="K138" s="8">
        <f t="shared" si="24"/>
        <v>2.0001226945392978</v>
      </c>
      <c r="L138" s="8">
        <f t="shared" si="25"/>
        <v>49.999999999999993</v>
      </c>
      <c r="M138" s="8">
        <f t="shared" si="26"/>
        <v>100.00613472696487</v>
      </c>
      <c r="N138" s="8">
        <f t="shared" si="18"/>
        <v>1.0000613472696487</v>
      </c>
    </row>
    <row r="139" spans="1:14" s="5" customFormat="1" ht="13.2" x14ac:dyDescent="0.3">
      <c r="A139" s="6"/>
      <c r="E139" s="5">
        <v>137</v>
      </c>
      <c r="F139" s="5">
        <f t="shared" si="19"/>
        <v>137</v>
      </c>
      <c r="G139" s="8">
        <f t="shared" si="21"/>
        <v>1.7299798616576822E-3</v>
      </c>
      <c r="H139" s="8">
        <f t="shared" si="22"/>
        <v>499.97116866489336</v>
      </c>
      <c r="I139" s="8">
        <f t="shared" si="20"/>
        <v>0</v>
      </c>
      <c r="J139" s="8">
        <f t="shared" si="23"/>
        <v>1000</v>
      </c>
      <c r="K139" s="8">
        <f t="shared" si="24"/>
        <v>2.0001153319907772</v>
      </c>
      <c r="L139" s="8">
        <f t="shared" si="25"/>
        <v>50</v>
      </c>
      <c r="M139" s="8">
        <f t="shared" si="26"/>
        <v>100.00576659953886</v>
      </c>
      <c r="N139" s="8">
        <f t="shared" si="18"/>
        <v>1.0000576659953886</v>
      </c>
    </row>
    <row r="140" spans="1:14" s="5" customFormat="1" ht="13.2" x14ac:dyDescent="0.3">
      <c r="A140" s="6"/>
      <c r="E140" s="5">
        <v>138</v>
      </c>
      <c r="F140" s="5">
        <f t="shared" si="19"/>
        <v>138</v>
      </c>
      <c r="G140" s="8">
        <f t="shared" si="21"/>
        <v>1.6261694574914998E-3</v>
      </c>
      <c r="H140" s="8">
        <f t="shared" si="22"/>
        <v>499.97289864475499</v>
      </c>
      <c r="I140" s="8">
        <f t="shared" si="20"/>
        <v>0</v>
      </c>
      <c r="J140" s="8">
        <f t="shared" si="23"/>
        <v>1000</v>
      </c>
      <c r="K140" s="8">
        <f t="shared" si="24"/>
        <v>2.0001084112971661</v>
      </c>
      <c r="L140" s="8">
        <f t="shared" si="25"/>
        <v>50</v>
      </c>
      <c r="M140" s="8">
        <f t="shared" si="26"/>
        <v>100.0054205648583</v>
      </c>
      <c r="N140" s="8">
        <f t="shared" si="18"/>
        <v>1.000054205648583</v>
      </c>
    </row>
    <row r="141" spans="1:14" s="5" customFormat="1" ht="13.2" x14ac:dyDescent="0.3">
      <c r="A141" s="6"/>
      <c r="E141" s="5">
        <v>139</v>
      </c>
      <c r="F141" s="5">
        <f t="shared" si="19"/>
        <v>139</v>
      </c>
      <c r="G141" s="8">
        <f t="shared" si="21"/>
        <v>1.5285890294336468E-3</v>
      </c>
      <c r="H141" s="8">
        <f t="shared" si="22"/>
        <v>499.97452481421249</v>
      </c>
      <c r="I141" s="8">
        <f t="shared" si="20"/>
        <v>0</v>
      </c>
      <c r="J141" s="8">
        <f t="shared" si="23"/>
        <v>1000</v>
      </c>
      <c r="K141" s="8">
        <f t="shared" si="24"/>
        <v>2.0001019059352951</v>
      </c>
      <c r="L141" s="8">
        <f t="shared" si="25"/>
        <v>50.000000000000014</v>
      </c>
      <c r="M141" s="8">
        <f t="shared" si="26"/>
        <v>100.00509529676478</v>
      </c>
      <c r="N141" s="8">
        <f t="shared" si="18"/>
        <v>1.0000509529676478</v>
      </c>
    </row>
    <row r="142" spans="1:14" s="5" customFormat="1" ht="13.2" x14ac:dyDescent="0.3">
      <c r="A142" s="6"/>
      <c r="E142" s="5">
        <v>140</v>
      </c>
      <c r="F142" s="5">
        <f t="shared" si="19"/>
        <v>140</v>
      </c>
      <c r="G142" s="8">
        <f t="shared" si="21"/>
        <v>1.4368646215245917E-3</v>
      </c>
      <c r="H142" s="8">
        <f t="shared" si="22"/>
        <v>499.97605340324191</v>
      </c>
      <c r="I142" s="8">
        <f t="shared" si="20"/>
        <v>0</v>
      </c>
      <c r="J142" s="8">
        <f t="shared" si="23"/>
        <v>1000</v>
      </c>
      <c r="K142" s="8">
        <f t="shared" si="24"/>
        <v>2.0000957909747679</v>
      </c>
      <c r="L142" s="8">
        <f t="shared" si="25"/>
        <v>50.000000000000014</v>
      </c>
      <c r="M142" s="8">
        <f t="shared" si="26"/>
        <v>100.00478954873842</v>
      </c>
      <c r="N142" s="8">
        <f t="shared" si="18"/>
        <v>1.0000478954873842</v>
      </c>
    </row>
    <row r="143" spans="1:14" s="5" customFormat="1" ht="13.2" x14ac:dyDescent="0.3">
      <c r="A143" s="6"/>
      <c r="E143" s="5">
        <v>141</v>
      </c>
      <c r="F143" s="5">
        <f t="shared" si="19"/>
        <v>141</v>
      </c>
      <c r="G143" s="8">
        <f t="shared" si="21"/>
        <v>1.350644733495443E-3</v>
      </c>
      <c r="H143" s="8">
        <f t="shared" si="22"/>
        <v>499.97749026786346</v>
      </c>
      <c r="I143" s="8">
        <f t="shared" si="20"/>
        <v>0</v>
      </c>
      <c r="J143" s="8">
        <f t="shared" si="23"/>
        <v>1000</v>
      </c>
      <c r="K143" s="8">
        <f t="shared" si="24"/>
        <v>2.000090042982233</v>
      </c>
      <c r="L143" s="8">
        <f t="shared" si="25"/>
        <v>50</v>
      </c>
      <c r="M143" s="8">
        <f t="shared" si="26"/>
        <v>100.00450214911166</v>
      </c>
      <c r="N143" s="8">
        <f t="shared" si="18"/>
        <v>1.0000450214911165</v>
      </c>
    </row>
    <row r="144" spans="1:14" s="5" customFormat="1" ht="13.2" x14ac:dyDescent="0.3">
      <c r="A144" s="6"/>
      <c r="E144" s="5">
        <v>142</v>
      </c>
      <c r="F144" s="5">
        <f t="shared" si="19"/>
        <v>142</v>
      </c>
      <c r="G144" s="8">
        <f t="shared" si="21"/>
        <v>1.2695989712940836E-3</v>
      </c>
      <c r="H144" s="8">
        <f t="shared" si="22"/>
        <v>499.97884091259698</v>
      </c>
      <c r="I144" s="8">
        <f t="shared" si="20"/>
        <v>0</v>
      </c>
      <c r="J144" s="8">
        <f t="shared" si="23"/>
        <v>1000</v>
      </c>
      <c r="K144" s="8">
        <f t="shared" si="24"/>
        <v>2.0000846399314196</v>
      </c>
      <c r="L144" s="8">
        <f t="shared" si="25"/>
        <v>50</v>
      </c>
      <c r="M144" s="8">
        <f t="shared" si="26"/>
        <v>100.00423199657098</v>
      </c>
      <c r="N144" s="8">
        <f t="shared" si="18"/>
        <v>1.0000423199657098</v>
      </c>
    </row>
    <row r="145" spans="1:14" s="5" customFormat="1" ht="13.2" x14ac:dyDescent="0.3">
      <c r="A145" s="6"/>
      <c r="E145" s="5">
        <v>143</v>
      </c>
      <c r="F145" s="5">
        <f t="shared" si="19"/>
        <v>143</v>
      </c>
      <c r="G145" s="8">
        <f t="shared" si="21"/>
        <v>1.1934167787996941E-3</v>
      </c>
      <c r="H145" s="8">
        <f t="shared" si="22"/>
        <v>499.98011051156828</v>
      </c>
      <c r="I145" s="8">
        <f t="shared" si="20"/>
        <v>0</v>
      </c>
      <c r="J145" s="8">
        <f t="shared" si="23"/>
        <v>1000</v>
      </c>
      <c r="K145" s="8">
        <f t="shared" si="24"/>
        <v>2.0000795611185866</v>
      </c>
      <c r="L145" s="8">
        <f t="shared" si="25"/>
        <v>50</v>
      </c>
      <c r="M145" s="8">
        <f t="shared" si="26"/>
        <v>100.00397805592934</v>
      </c>
      <c r="N145" s="8">
        <f t="shared" si="18"/>
        <v>1.0000397805592933</v>
      </c>
    </row>
    <row r="146" spans="1:14" s="5" customFormat="1" ht="13.2" x14ac:dyDescent="0.3">
      <c r="A146" s="6"/>
      <c r="E146" s="5">
        <v>144</v>
      </c>
      <c r="F146" s="5">
        <f t="shared" si="19"/>
        <v>144</v>
      </c>
      <c r="G146" s="8">
        <f t="shared" si="21"/>
        <v>1.1218062459161793E-3</v>
      </c>
      <c r="H146" s="8">
        <f t="shared" si="22"/>
        <v>499.98130392834707</v>
      </c>
      <c r="I146" s="8">
        <f t="shared" si="20"/>
        <v>0</v>
      </c>
      <c r="J146" s="8">
        <f t="shared" si="23"/>
        <v>1000</v>
      </c>
      <c r="K146" s="8">
        <f t="shared" si="24"/>
        <v>2.0000747870830611</v>
      </c>
      <c r="L146" s="8">
        <f t="shared" si="25"/>
        <v>50</v>
      </c>
      <c r="M146" s="8">
        <f t="shared" si="26"/>
        <v>100.00373935415305</v>
      </c>
      <c r="N146" s="8">
        <f t="shared" si="18"/>
        <v>1.0000373935415305</v>
      </c>
    </row>
    <row r="147" spans="1:14" s="5" customFormat="1" ht="13.2" x14ac:dyDescent="0.3">
      <c r="A147" s="6"/>
      <c r="E147" s="5">
        <v>145</v>
      </c>
      <c r="F147" s="5">
        <f t="shared" si="19"/>
        <v>145</v>
      </c>
      <c r="G147" s="8">
        <f t="shared" si="21"/>
        <v>1.0544929882949639E-3</v>
      </c>
      <c r="H147" s="8">
        <f t="shared" si="22"/>
        <v>499.98242573459299</v>
      </c>
      <c r="I147" s="8">
        <f t="shared" si="20"/>
        <v>0</v>
      </c>
      <c r="J147" s="8">
        <f t="shared" si="23"/>
        <v>1000</v>
      </c>
      <c r="K147" s="8">
        <f t="shared" si="24"/>
        <v>2.0000702995325534</v>
      </c>
      <c r="L147" s="8">
        <f t="shared" si="25"/>
        <v>49.999999999999993</v>
      </c>
      <c r="M147" s="8">
        <f t="shared" si="26"/>
        <v>100.00351497662766</v>
      </c>
      <c r="N147" s="8">
        <f t="shared" si="18"/>
        <v>1.0000351497662765</v>
      </c>
    </row>
    <row r="148" spans="1:14" s="5" customFormat="1" ht="13.2" x14ac:dyDescent="0.3">
      <c r="A148" s="6"/>
      <c r="E148" s="5">
        <v>146</v>
      </c>
      <c r="F148" s="5">
        <f t="shared" si="19"/>
        <v>146</v>
      </c>
      <c r="G148" s="8">
        <f t="shared" si="21"/>
        <v>9.912190945504662E-4</v>
      </c>
      <c r="H148" s="8">
        <f t="shared" si="22"/>
        <v>499.98348022758131</v>
      </c>
      <c r="I148" s="8">
        <f t="shared" si="20"/>
        <v>0</v>
      </c>
      <c r="J148" s="8">
        <f t="shared" si="23"/>
        <v>1000</v>
      </c>
      <c r="K148" s="8">
        <f t="shared" si="24"/>
        <v>2.00006608127297</v>
      </c>
      <c r="L148" s="8">
        <f t="shared" si="25"/>
        <v>50</v>
      </c>
      <c r="M148" s="8">
        <f t="shared" si="26"/>
        <v>100.0033040636485</v>
      </c>
      <c r="N148" s="8">
        <f t="shared" si="18"/>
        <v>1.000033040636485</v>
      </c>
    </row>
    <row r="149" spans="1:14" s="5" customFormat="1" ht="13.2" x14ac:dyDescent="0.3">
      <c r="A149" s="6"/>
      <c r="E149" s="5">
        <v>147</v>
      </c>
      <c r="F149" s="5">
        <f t="shared" si="19"/>
        <v>147</v>
      </c>
      <c r="G149" s="8">
        <f t="shared" si="21"/>
        <v>9.3174213666502581E-4</v>
      </c>
      <c r="H149" s="8">
        <f t="shared" si="22"/>
        <v>499.98447144667585</v>
      </c>
      <c r="I149" s="8">
        <f t="shared" si="20"/>
        <v>0</v>
      </c>
      <c r="J149" s="8">
        <f t="shared" si="23"/>
        <v>1000</v>
      </c>
      <c r="K149" s="8">
        <f t="shared" si="24"/>
        <v>2.0000621161424443</v>
      </c>
      <c r="L149" s="8">
        <f t="shared" si="25"/>
        <v>50</v>
      </c>
      <c r="M149" s="8">
        <f t="shared" si="26"/>
        <v>100.00310580712221</v>
      </c>
      <c r="N149" s="8">
        <f t="shared" si="18"/>
        <v>1.0000310580712222</v>
      </c>
    </row>
    <row r="150" spans="1:14" s="5" customFormat="1" ht="13.2" x14ac:dyDescent="0.3">
      <c r="A150" s="6"/>
      <c r="E150" s="5">
        <v>148</v>
      </c>
      <c r="F150" s="5">
        <f t="shared" si="19"/>
        <v>148</v>
      </c>
      <c r="G150" s="8">
        <f t="shared" si="21"/>
        <v>8.758342400327912E-4</v>
      </c>
      <c r="H150" s="8">
        <f t="shared" si="22"/>
        <v>499.98540318881254</v>
      </c>
      <c r="I150" s="8">
        <f t="shared" si="20"/>
        <v>0</v>
      </c>
      <c r="J150" s="8">
        <f t="shared" si="23"/>
        <v>1000</v>
      </c>
      <c r="K150" s="8">
        <f t="shared" si="24"/>
        <v>2.0000583889493346</v>
      </c>
      <c r="L150" s="8">
        <f t="shared" si="25"/>
        <v>50.000000000000014</v>
      </c>
      <c r="M150" s="8">
        <f t="shared" si="26"/>
        <v>100.00291944746677</v>
      </c>
      <c r="N150" s="8">
        <f t="shared" si="18"/>
        <v>1.0000291944746678</v>
      </c>
    </row>
    <row r="151" spans="1:14" s="5" customFormat="1" ht="13.2" x14ac:dyDescent="0.3">
      <c r="A151" s="6"/>
      <c r="E151" s="5">
        <v>149</v>
      </c>
      <c r="F151" s="5">
        <f t="shared" si="19"/>
        <v>149</v>
      </c>
      <c r="G151" s="8">
        <f t="shared" si="21"/>
        <v>8.2328120929231474E-4</v>
      </c>
      <c r="H151" s="8">
        <f t="shared" si="22"/>
        <v>499.98627902305259</v>
      </c>
      <c r="I151" s="8">
        <f t="shared" si="20"/>
        <v>0</v>
      </c>
      <c r="J151" s="8">
        <f t="shared" si="23"/>
        <v>1000</v>
      </c>
      <c r="K151" s="8">
        <f t="shared" si="24"/>
        <v>2.0000548854139528</v>
      </c>
      <c r="L151" s="8">
        <f t="shared" si="25"/>
        <v>49.999999999999993</v>
      </c>
      <c r="M151" s="8">
        <f t="shared" si="26"/>
        <v>100.00274427069763</v>
      </c>
      <c r="N151" s="8">
        <f t="shared" si="18"/>
        <v>1.0000274427069764</v>
      </c>
    </row>
    <row r="152" spans="1:14" s="5" customFormat="1" ht="13.2" x14ac:dyDescent="0.3">
      <c r="A152" s="6"/>
      <c r="E152" s="5">
        <v>150</v>
      </c>
      <c r="F152" s="5">
        <f t="shared" si="19"/>
        <v>150</v>
      </c>
      <c r="G152" s="8">
        <f t="shared" si="21"/>
        <v>7.7388170686365498E-4</v>
      </c>
      <c r="H152" s="8">
        <f t="shared" si="22"/>
        <v>499.9871023042619</v>
      </c>
      <c r="I152" s="8">
        <f t="shared" si="20"/>
        <v>0</v>
      </c>
      <c r="J152" s="8">
        <f t="shared" si="23"/>
        <v>1000</v>
      </c>
      <c r="K152" s="8">
        <f t="shared" si="24"/>
        <v>2.0000515921137914</v>
      </c>
      <c r="L152" s="8">
        <f t="shared" si="25"/>
        <v>49.999999999999993</v>
      </c>
      <c r="M152" s="8">
        <f t="shared" si="26"/>
        <v>100.00257960568955</v>
      </c>
      <c r="N152" s="8">
        <f t="shared" si="18"/>
        <v>1.0000257960568955</v>
      </c>
    </row>
    <row r="153" spans="1:14" s="5" customFormat="1" ht="13.2" x14ac:dyDescent="0.3">
      <c r="A153" s="6"/>
      <c r="E153" s="5">
        <v>151</v>
      </c>
      <c r="F153" s="5">
        <f t="shared" si="19"/>
        <v>151</v>
      </c>
      <c r="G153" s="8">
        <f t="shared" si="21"/>
        <v>7.2744648072609053E-4</v>
      </c>
      <c r="H153" s="8">
        <f t="shared" si="22"/>
        <v>499.98787618596879</v>
      </c>
      <c r="I153" s="8">
        <f t="shared" si="20"/>
        <v>0</v>
      </c>
      <c r="J153" s="8">
        <f t="shared" si="23"/>
        <v>1000</v>
      </c>
      <c r="K153" s="8">
        <f t="shared" si="24"/>
        <v>2.0000484964320484</v>
      </c>
      <c r="L153" s="8">
        <f t="shared" si="25"/>
        <v>50</v>
      </c>
      <c r="M153" s="8">
        <f t="shared" si="26"/>
        <v>100.00242482160242</v>
      </c>
      <c r="N153" s="8">
        <f t="shared" si="18"/>
        <v>1.0000242482160242</v>
      </c>
    </row>
    <row r="154" spans="1:14" s="5" customFormat="1" ht="13.2" x14ac:dyDescent="0.3">
      <c r="A154" s="6"/>
      <c r="E154" s="5">
        <v>152</v>
      </c>
      <c r="F154" s="5">
        <f t="shared" si="19"/>
        <v>152</v>
      </c>
      <c r="G154" s="8">
        <f t="shared" si="21"/>
        <v>6.8379763865200616E-4</v>
      </c>
      <c r="H154" s="8">
        <f t="shared" si="22"/>
        <v>499.9886036324495</v>
      </c>
      <c r="I154" s="8">
        <f t="shared" si="20"/>
        <v>0</v>
      </c>
      <c r="J154" s="8">
        <f t="shared" si="23"/>
        <v>1000</v>
      </c>
      <c r="K154" s="8">
        <f t="shared" si="24"/>
        <v>2.000045586509243</v>
      </c>
      <c r="L154" s="8">
        <f t="shared" si="25"/>
        <v>50.000000000000014</v>
      </c>
      <c r="M154" s="8">
        <f t="shared" si="26"/>
        <v>100.00227932546218</v>
      </c>
      <c r="N154" s="8">
        <f t="shared" si="18"/>
        <v>1.0000227932546217</v>
      </c>
    </row>
    <row r="155" spans="1:14" s="5" customFormat="1" ht="13.2" x14ac:dyDescent="0.3">
      <c r="A155" s="6"/>
      <c r="E155" s="5">
        <v>153</v>
      </c>
      <c r="F155" s="5">
        <f t="shared" si="19"/>
        <v>153</v>
      </c>
      <c r="G155" s="8">
        <f t="shared" si="21"/>
        <v>6.4276796610585052E-4</v>
      </c>
      <c r="H155" s="8">
        <f t="shared" si="22"/>
        <v>499.98928743008815</v>
      </c>
      <c r="I155" s="8">
        <f t="shared" si="20"/>
        <v>0</v>
      </c>
      <c r="J155" s="8">
        <f t="shared" si="23"/>
        <v>1000</v>
      </c>
      <c r="K155" s="8">
        <f t="shared" si="24"/>
        <v>2.0000428511977404</v>
      </c>
      <c r="L155" s="8">
        <f t="shared" si="25"/>
        <v>50</v>
      </c>
      <c r="M155" s="8">
        <f t="shared" si="26"/>
        <v>100.00214255988702</v>
      </c>
      <c r="N155" s="8">
        <f t="shared" si="18"/>
        <v>1.0000214255988702</v>
      </c>
    </row>
    <row r="156" spans="1:14" s="5" customFormat="1" ht="13.2" x14ac:dyDescent="0.3">
      <c r="A156" s="6"/>
      <c r="E156" s="5">
        <v>154</v>
      </c>
      <c r="F156" s="5">
        <f t="shared" si="19"/>
        <v>154</v>
      </c>
      <c r="G156" s="8">
        <f t="shared" si="21"/>
        <v>6.0420028510366208E-4</v>
      </c>
      <c r="H156" s="8">
        <f t="shared" si="22"/>
        <v>499.98993019805425</v>
      </c>
      <c r="I156" s="8">
        <f t="shared" si="20"/>
        <v>0</v>
      </c>
      <c r="J156" s="8">
        <f t="shared" si="23"/>
        <v>1000</v>
      </c>
      <c r="K156" s="8">
        <f t="shared" si="24"/>
        <v>2.0000402800190065</v>
      </c>
      <c r="L156" s="8">
        <f t="shared" si="25"/>
        <v>50.000000000000014</v>
      </c>
      <c r="M156" s="8">
        <f t="shared" si="26"/>
        <v>100.00201400095035</v>
      </c>
      <c r="N156" s="8">
        <f t="shared" si="18"/>
        <v>1.0000201400095035</v>
      </c>
    </row>
    <row r="157" spans="1:14" s="5" customFormat="1" ht="13.2" x14ac:dyDescent="0.3">
      <c r="A157" s="6"/>
      <c r="E157" s="5">
        <v>155</v>
      </c>
      <c r="F157" s="5">
        <f t="shared" si="19"/>
        <v>155</v>
      </c>
      <c r="G157" s="8">
        <f t="shared" si="21"/>
        <v>5.6794685155514557E-4</v>
      </c>
      <c r="H157" s="8">
        <f t="shared" si="22"/>
        <v>499.99053439833938</v>
      </c>
      <c r="I157" s="8">
        <f t="shared" si="20"/>
        <v>0</v>
      </c>
      <c r="J157" s="8">
        <f t="shared" si="23"/>
        <v>1000</v>
      </c>
      <c r="K157" s="8">
        <f t="shared" si="24"/>
        <v>2.000037863123437</v>
      </c>
      <c r="L157" s="8">
        <f t="shared" si="25"/>
        <v>50</v>
      </c>
      <c r="M157" s="8">
        <f t="shared" si="26"/>
        <v>100.00189315617185</v>
      </c>
      <c r="N157" s="8">
        <f t="shared" si="18"/>
        <v>1.0000189315617185</v>
      </c>
    </row>
    <row r="158" spans="1:14" s="5" customFormat="1" ht="13.2" x14ac:dyDescent="0.3">
      <c r="A158" s="6"/>
      <c r="E158" s="5">
        <v>156</v>
      </c>
      <c r="F158" s="5">
        <f t="shared" si="19"/>
        <v>156</v>
      </c>
      <c r="G158" s="8">
        <f t="shared" si="21"/>
        <v>5.3386878890337996E-4</v>
      </c>
      <c r="H158" s="8">
        <f t="shared" si="22"/>
        <v>499.99110234519094</v>
      </c>
      <c r="I158" s="8">
        <f t="shared" si="20"/>
        <v>0</v>
      </c>
      <c r="J158" s="8">
        <f t="shared" si="23"/>
        <v>1000</v>
      </c>
      <c r="K158" s="8">
        <f t="shared" si="24"/>
        <v>2.0000355912525936</v>
      </c>
      <c r="L158" s="8">
        <f t="shared" si="25"/>
        <v>50</v>
      </c>
      <c r="M158" s="8">
        <f t="shared" si="26"/>
        <v>100.00177956262968</v>
      </c>
      <c r="N158" s="8">
        <f t="shared" si="18"/>
        <v>1.0000177956262968</v>
      </c>
    </row>
    <row r="159" spans="1:14" s="5" customFormat="1" ht="13.2" x14ac:dyDescent="0.3">
      <c r="A159" s="6"/>
      <c r="E159" s="5">
        <v>157</v>
      </c>
      <c r="F159" s="5">
        <f t="shared" si="19"/>
        <v>157</v>
      </c>
      <c r="G159" s="8">
        <f t="shared" si="21"/>
        <v>5.0183555569738303E-4</v>
      </c>
      <c r="H159" s="8">
        <f t="shared" si="22"/>
        <v>499.99163621397986</v>
      </c>
      <c r="I159" s="8">
        <f t="shared" si="20"/>
        <v>0</v>
      </c>
      <c r="J159" s="8">
        <f t="shared" si="23"/>
        <v>1000</v>
      </c>
      <c r="K159" s="8">
        <f t="shared" si="24"/>
        <v>2.0000334557037132</v>
      </c>
      <c r="L159" s="8">
        <f t="shared" si="25"/>
        <v>50</v>
      </c>
      <c r="M159" s="8">
        <f t="shared" si="26"/>
        <v>100.00167278518566</v>
      </c>
      <c r="N159" s="8">
        <f t="shared" si="18"/>
        <v>1.0000167278518566</v>
      </c>
    </row>
    <row r="160" spans="1:14" s="5" customFormat="1" ht="13.2" x14ac:dyDescent="0.3">
      <c r="A160" s="6"/>
      <c r="E160" s="5">
        <v>158</v>
      </c>
      <c r="F160" s="5">
        <f t="shared" si="19"/>
        <v>158</v>
      </c>
      <c r="G160" s="8">
        <f t="shared" si="21"/>
        <v>4.7172444521237367E-4</v>
      </c>
      <c r="H160" s="8">
        <f t="shared" si="22"/>
        <v>499.99213804953558</v>
      </c>
      <c r="I160" s="8">
        <f t="shared" si="20"/>
        <v>0</v>
      </c>
      <c r="J160" s="8">
        <f t="shared" si="23"/>
        <v>1000</v>
      </c>
      <c r="K160" s="8">
        <f t="shared" si="24"/>
        <v>2.0000314482963475</v>
      </c>
      <c r="L160" s="8">
        <f t="shared" si="25"/>
        <v>50</v>
      </c>
      <c r="M160" s="8">
        <f t="shared" si="26"/>
        <v>100.00157241481737</v>
      </c>
      <c r="N160" s="8">
        <f t="shared" si="18"/>
        <v>1.0000157241481737</v>
      </c>
    </row>
    <row r="161" spans="1:14" s="5" customFormat="1" ht="13.2" x14ac:dyDescent="0.3">
      <c r="A161" s="6"/>
      <c r="E161" s="5">
        <v>159</v>
      </c>
      <c r="F161" s="5">
        <f t="shared" si="19"/>
        <v>159</v>
      </c>
      <c r="G161" s="8">
        <f t="shared" si="21"/>
        <v>4.4342011510600798E-4</v>
      </c>
      <c r="H161" s="8">
        <f t="shared" si="22"/>
        <v>499.9926097739808</v>
      </c>
      <c r="I161" s="8">
        <f t="shared" si="20"/>
        <v>0</v>
      </c>
      <c r="J161" s="8">
        <f t="shared" si="23"/>
        <v>1000</v>
      </c>
      <c r="K161" s="8">
        <f t="shared" si="24"/>
        <v>2.0000295613410066</v>
      </c>
      <c r="L161" s="8">
        <f t="shared" si="25"/>
        <v>50.000000000000014</v>
      </c>
      <c r="M161" s="8">
        <f t="shared" si="26"/>
        <v>100.00147806705036</v>
      </c>
      <c r="N161" s="8">
        <f t="shared" si="18"/>
        <v>1.0000147806705035</v>
      </c>
    </row>
    <row r="162" spans="1:14" s="5" customFormat="1" ht="13.2" x14ac:dyDescent="0.3">
      <c r="A162" s="6"/>
      <c r="E162" s="5">
        <v>160</v>
      </c>
      <c r="F162" s="5">
        <f t="shared" si="19"/>
        <v>160</v>
      </c>
      <c r="G162" s="8">
        <f t="shared" si="21"/>
        <v>4.1681414529870509E-4</v>
      </c>
      <c r="H162" s="8">
        <f t="shared" si="22"/>
        <v>499.99305319409592</v>
      </c>
      <c r="I162" s="8">
        <f t="shared" si="20"/>
        <v>0</v>
      </c>
      <c r="J162" s="8">
        <f t="shared" si="23"/>
        <v>1000</v>
      </c>
      <c r="K162" s="8">
        <f t="shared" si="24"/>
        <v>2.0000277876096866</v>
      </c>
      <c r="L162" s="8">
        <f t="shared" si="25"/>
        <v>50</v>
      </c>
      <c r="M162" s="8">
        <f t="shared" si="26"/>
        <v>100.00138938048433</v>
      </c>
      <c r="N162" s="8">
        <f t="shared" si="18"/>
        <v>1.0000138938048433</v>
      </c>
    </row>
    <row r="163" spans="1:14" s="5" customFormat="1" ht="13.2" x14ac:dyDescent="0.3">
      <c r="A163" s="6"/>
      <c r="E163" s="5">
        <v>161</v>
      </c>
      <c r="F163" s="5">
        <f t="shared" si="19"/>
        <v>161</v>
      </c>
      <c r="G163" s="8">
        <f t="shared" si="21"/>
        <v>3.9180462249266412E-4</v>
      </c>
      <c r="H163" s="8">
        <f t="shared" si="22"/>
        <v>499.99347000824122</v>
      </c>
      <c r="I163" s="8">
        <f t="shared" si="20"/>
        <v>0</v>
      </c>
      <c r="J163" s="8">
        <f t="shared" si="23"/>
        <v>1000</v>
      </c>
      <c r="K163" s="8">
        <f t="shared" si="24"/>
        <v>2.0000261203081657</v>
      </c>
      <c r="L163" s="8">
        <f t="shared" si="25"/>
        <v>50.000000000000014</v>
      </c>
      <c r="M163" s="8">
        <f t="shared" si="26"/>
        <v>100.00130601540832</v>
      </c>
      <c r="N163" s="8">
        <f t="shared" si="18"/>
        <v>1.0000130601540831</v>
      </c>
    </row>
    <row r="164" spans="1:14" s="5" customFormat="1" ht="13.2" x14ac:dyDescent="0.3">
      <c r="A164" s="6"/>
      <c r="E164" s="5">
        <v>162</v>
      </c>
      <c r="F164" s="5">
        <f t="shared" si="19"/>
        <v>162</v>
      </c>
      <c r="G164" s="8">
        <f t="shared" si="21"/>
        <v>3.6829574951768862E-4</v>
      </c>
      <c r="H164" s="8">
        <f t="shared" si="22"/>
        <v>499.99386181286371</v>
      </c>
      <c r="I164" s="8">
        <f t="shared" si="20"/>
        <v>0</v>
      </c>
      <c r="J164" s="8">
        <f t="shared" si="23"/>
        <v>1000</v>
      </c>
      <c r="K164" s="8">
        <f t="shared" si="24"/>
        <v>2.0000245530499674</v>
      </c>
      <c r="L164" s="8">
        <f t="shared" si="25"/>
        <v>50.000000000000014</v>
      </c>
      <c r="M164" s="8">
        <f t="shared" si="26"/>
        <v>100.0012276524984</v>
      </c>
      <c r="N164" s="8">
        <f t="shared" si="18"/>
        <v>1.0000122765249839</v>
      </c>
    </row>
    <row r="165" spans="1:14" s="5" customFormat="1" ht="13.2" x14ac:dyDescent="0.3">
      <c r="A165" s="6"/>
      <c r="E165" s="5">
        <v>163</v>
      </c>
      <c r="F165" s="5">
        <f t="shared" si="19"/>
        <v>163</v>
      </c>
      <c r="G165" s="8">
        <f t="shared" si="21"/>
        <v>3.4619747824482516E-4</v>
      </c>
      <c r="H165" s="8">
        <f t="shared" si="22"/>
        <v>499.99423010861324</v>
      </c>
      <c r="I165" s="8">
        <f t="shared" si="20"/>
        <v>0</v>
      </c>
      <c r="J165" s="8">
        <f t="shared" si="23"/>
        <v>1000</v>
      </c>
      <c r="K165" s="8">
        <f t="shared" si="24"/>
        <v>2.0000230798318834</v>
      </c>
      <c r="L165" s="8">
        <f t="shared" si="25"/>
        <v>49.999999999999993</v>
      </c>
      <c r="M165" s="8">
        <f t="shared" si="26"/>
        <v>100.00115399159415</v>
      </c>
      <c r="N165" s="8">
        <f t="shared" si="18"/>
        <v>1.0000115399159415</v>
      </c>
    </row>
    <row r="166" spans="1:14" s="5" customFormat="1" ht="13.2" x14ac:dyDescent="0.3">
      <c r="A166" s="6"/>
      <c r="E166" s="5">
        <v>164</v>
      </c>
      <c r="F166" s="5">
        <f t="shared" si="19"/>
        <v>164</v>
      </c>
      <c r="G166" s="8">
        <f t="shared" si="21"/>
        <v>3.2542516453570869E-4</v>
      </c>
      <c r="H166" s="8">
        <f t="shared" si="22"/>
        <v>499.99457630609146</v>
      </c>
      <c r="I166" s="8">
        <f t="shared" si="20"/>
        <v>0</v>
      </c>
      <c r="J166" s="8">
        <f t="shared" si="23"/>
        <v>1000</v>
      </c>
      <c r="K166" s="8">
        <f t="shared" si="24"/>
        <v>2.0000216950109682</v>
      </c>
      <c r="L166" s="8">
        <f t="shared" si="25"/>
        <v>50.000000000000014</v>
      </c>
      <c r="M166" s="8">
        <f t="shared" si="26"/>
        <v>100.00108475054844</v>
      </c>
      <c r="N166" s="8">
        <f t="shared" si="18"/>
        <v>1.0000108475054845</v>
      </c>
    </row>
    <row r="167" spans="1:14" s="5" customFormat="1" ht="13.2" x14ac:dyDescent="0.3">
      <c r="A167" s="6"/>
      <c r="E167" s="5">
        <v>165</v>
      </c>
      <c r="F167" s="5">
        <f t="shared" si="19"/>
        <v>165</v>
      </c>
      <c r="G167" s="8">
        <f t="shared" si="21"/>
        <v>3.0589924375545863E-4</v>
      </c>
      <c r="H167" s="8">
        <f t="shared" si="22"/>
        <v>499.99490173125599</v>
      </c>
      <c r="I167" s="8">
        <f t="shared" si="20"/>
        <v>0</v>
      </c>
      <c r="J167" s="8">
        <f t="shared" si="23"/>
        <v>1000</v>
      </c>
      <c r="K167" s="8">
        <f t="shared" si="24"/>
        <v>2.000020393282917</v>
      </c>
      <c r="L167" s="8">
        <f t="shared" si="25"/>
        <v>49.999999999999993</v>
      </c>
      <c r="M167" s="8">
        <f t="shared" si="26"/>
        <v>100.00101966414584</v>
      </c>
      <c r="N167" s="8">
        <f t="shared" si="18"/>
        <v>1.0000101966414585</v>
      </c>
    </row>
    <row r="168" spans="1:14" s="5" customFormat="1" ht="13.2" x14ac:dyDescent="0.3">
      <c r="A168" s="6"/>
      <c r="E168" s="5">
        <v>166</v>
      </c>
      <c r="F168" s="5">
        <f t="shared" si="19"/>
        <v>166</v>
      </c>
      <c r="G168" s="8">
        <f t="shared" si="21"/>
        <v>2.8754492605642668E-4</v>
      </c>
      <c r="H168" s="8">
        <f t="shared" si="22"/>
        <v>499.99520763049975</v>
      </c>
      <c r="I168" s="8">
        <f t="shared" si="20"/>
        <v>0</v>
      </c>
      <c r="J168" s="8">
        <f t="shared" si="23"/>
        <v>1000</v>
      </c>
      <c r="K168" s="8">
        <f t="shared" si="24"/>
        <v>2.0000191696617371</v>
      </c>
      <c r="L168" s="8">
        <f t="shared" si="25"/>
        <v>50</v>
      </c>
      <c r="M168" s="8">
        <f t="shared" si="26"/>
        <v>100.00095848308686</v>
      </c>
      <c r="N168" s="8">
        <f t="shared" si="18"/>
        <v>1.0000095848308685</v>
      </c>
    </row>
    <row r="169" spans="1:14" s="5" customFormat="1" ht="13.2" x14ac:dyDescent="0.3">
      <c r="A169" s="6"/>
      <c r="E169" s="5">
        <v>167</v>
      </c>
      <c r="F169" s="5">
        <f t="shared" si="19"/>
        <v>167</v>
      </c>
      <c r="G169" s="8">
        <f t="shared" si="21"/>
        <v>2.7029190968752559E-4</v>
      </c>
      <c r="H169" s="8">
        <f t="shared" si="22"/>
        <v>499.99549517542579</v>
      </c>
      <c r="I169" s="8">
        <f t="shared" si="20"/>
        <v>0</v>
      </c>
      <c r="J169" s="8">
        <f t="shared" si="23"/>
        <v>1000</v>
      </c>
      <c r="K169" s="8">
        <f t="shared" si="24"/>
        <v>2.0000180194606458</v>
      </c>
      <c r="L169" s="8">
        <f t="shared" si="25"/>
        <v>50</v>
      </c>
      <c r="M169" s="8">
        <f t="shared" si="26"/>
        <v>100.00090097303229</v>
      </c>
      <c r="N169" s="8">
        <f t="shared" si="18"/>
        <v>1.0000090097303229</v>
      </c>
    </row>
    <row r="170" spans="1:14" s="5" customFormat="1" ht="13.2" x14ac:dyDescent="0.3">
      <c r="A170" s="6"/>
      <c r="E170" s="5">
        <v>168</v>
      </c>
      <c r="F170" s="5">
        <f t="shared" si="19"/>
        <v>168</v>
      </c>
      <c r="G170" s="8">
        <f t="shared" si="21"/>
        <v>2.5407411163635985E-4</v>
      </c>
      <c r="H170" s="8">
        <f t="shared" si="22"/>
        <v>499.9957654673355</v>
      </c>
      <c r="I170" s="8">
        <f t="shared" si="20"/>
        <v>0</v>
      </c>
      <c r="J170" s="8">
        <f t="shared" si="23"/>
        <v>1000</v>
      </c>
      <c r="K170" s="8">
        <f t="shared" si="24"/>
        <v>2.0000169382741095</v>
      </c>
      <c r="L170" s="8">
        <f t="shared" si="25"/>
        <v>49.999999999999993</v>
      </c>
      <c r="M170" s="8">
        <f t="shared" si="26"/>
        <v>100.00084691370546</v>
      </c>
      <c r="N170" s="8">
        <f t="shared" si="18"/>
        <v>1.0000084691370545</v>
      </c>
    </row>
    <row r="171" spans="1:14" s="5" customFormat="1" ht="13.2" x14ac:dyDescent="0.3">
      <c r="A171" s="6"/>
      <c r="E171" s="5">
        <v>169</v>
      </c>
      <c r="F171" s="5">
        <f t="shared" si="19"/>
        <v>169</v>
      </c>
      <c r="G171" s="8">
        <f t="shared" si="21"/>
        <v>2.3882941447173067E-4</v>
      </c>
      <c r="H171" s="8">
        <f t="shared" si="22"/>
        <v>499.99601954144714</v>
      </c>
      <c r="I171" s="8">
        <f t="shared" si="20"/>
        <v>0</v>
      </c>
      <c r="J171" s="8">
        <f t="shared" si="23"/>
        <v>1000</v>
      </c>
      <c r="K171" s="8">
        <f t="shared" si="24"/>
        <v>2.0000159219609648</v>
      </c>
      <c r="L171" s="8">
        <f t="shared" si="25"/>
        <v>50</v>
      </c>
      <c r="M171" s="8">
        <f t="shared" si="26"/>
        <v>100.00079609804824</v>
      </c>
      <c r="N171" s="8">
        <f t="shared" si="18"/>
        <v>1.0000079609804824</v>
      </c>
    </row>
    <row r="172" spans="1:14" s="5" customFormat="1" ht="13.2" x14ac:dyDescent="0.3">
      <c r="A172" s="6"/>
      <c r="E172" s="5">
        <v>170</v>
      </c>
      <c r="F172" s="5">
        <f t="shared" si="19"/>
        <v>170</v>
      </c>
      <c r="G172" s="8">
        <f t="shared" si="21"/>
        <v>2.2449942828739466E-4</v>
      </c>
      <c r="H172" s="8">
        <f t="shared" si="22"/>
        <v>499.9962583708616</v>
      </c>
      <c r="I172" s="8">
        <f t="shared" si="20"/>
        <v>0</v>
      </c>
      <c r="J172" s="8">
        <f t="shared" si="23"/>
        <v>1000</v>
      </c>
      <c r="K172" s="8">
        <f t="shared" si="24"/>
        <v>2.0000149666285529</v>
      </c>
      <c r="L172" s="8">
        <f t="shared" si="25"/>
        <v>49.999999999999993</v>
      </c>
      <c r="M172" s="8">
        <f t="shared" si="26"/>
        <v>100.00074833142763</v>
      </c>
      <c r="N172" s="8">
        <f t="shared" si="18"/>
        <v>1.0000074833142762</v>
      </c>
    </row>
    <row r="173" spans="1:14" s="5" customFormat="1" ht="13.2" x14ac:dyDescent="0.3">
      <c r="A173" s="6"/>
      <c r="E173" s="5">
        <v>171</v>
      </c>
      <c r="F173" s="5">
        <f t="shared" si="19"/>
        <v>171</v>
      </c>
      <c r="G173" s="8">
        <f t="shared" si="21"/>
        <v>2.1102926704097413E-4</v>
      </c>
      <c r="H173" s="8">
        <f t="shared" si="22"/>
        <v>499.99648287028987</v>
      </c>
      <c r="I173" s="8">
        <f t="shared" si="20"/>
        <v>0</v>
      </c>
      <c r="J173" s="8">
        <f t="shared" si="23"/>
        <v>1000</v>
      </c>
      <c r="K173" s="8">
        <f t="shared" si="24"/>
        <v>2.0000140686178027</v>
      </c>
      <c r="L173" s="8">
        <f t="shared" si="25"/>
        <v>50</v>
      </c>
      <c r="M173" s="8">
        <f t="shared" si="26"/>
        <v>100.00070343089014</v>
      </c>
      <c r="N173" s="8">
        <f t="shared" si="18"/>
        <v>1.0000070343089014</v>
      </c>
    </row>
    <row r="174" spans="1:14" s="5" customFormat="1" ht="13.2" x14ac:dyDescent="0.3">
      <c r="A174" s="6"/>
      <c r="E174" s="5">
        <v>172</v>
      </c>
      <c r="F174" s="5">
        <f t="shared" si="19"/>
        <v>172</v>
      </c>
      <c r="G174" s="8">
        <f t="shared" si="21"/>
        <v>1.9836733822886643E-4</v>
      </c>
      <c r="H174" s="8">
        <f t="shared" si="22"/>
        <v>499.99669389955693</v>
      </c>
      <c r="I174" s="8">
        <f t="shared" si="20"/>
        <v>0</v>
      </c>
      <c r="J174" s="8">
        <f t="shared" si="23"/>
        <v>1000</v>
      </c>
      <c r="K174" s="8">
        <f t="shared" si="24"/>
        <v>2.0000132244892153</v>
      </c>
      <c r="L174" s="8">
        <f t="shared" si="25"/>
        <v>50</v>
      </c>
      <c r="M174" s="8">
        <f t="shared" si="26"/>
        <v>100.00066122446076</v>
      </c>
      <c r="N174" s="8">
        <f t="shared" si="18"/>
        <v>1.0000066122446076</v>
      </c>
    </row>
    <row r="175" spans="1:14" s="5" customFormat="1" ht="13.2" x14ac:dyDescent="0.3">
      <c r="A175" s="6"/>
      <c r="E175" s="5">
        <v>173</v>
      </c>
      <c r="F175" s="5">
        <f t="shared" si="19"/>
        <v>173</v>
      </c>
      <c r="G175" s="8">
        <f t="shared" si="21"/>
        <v>1.8646514525766378E-4</v>
      </c>
      <c r="H175" s="8">
        <f t="shared" si="22"/>
        <v>499.99689226689514</v>
      </c>
      <c r="I175" s="8">
        <f t="shared" si="20"/>
        <v>0</v>
      </c>
      <c r="J175" s="8">
        <f t="shared" si="23"/>
        <v>1000</v>
      </c>
      <c r="K175" s="8">
        <f t="shared" si="24"/>
        <v>2.0000124310096838</v>
      </c>
      <c r="L175" s="8">
        <f t="shared" si="25"/>
        <v>50</v>
      </c>
      <c r="M175" s="8">
        <f t="shared" si="26"/>
        <v>100.0006215504842</v>
      </c>
      <c r="N175" s="8">
        <f t="shared" si="18"/>
        <v>1.0000062155048419</v>
      </c>
    </row>
    <row r="176" spans="1:14" s="5" customFormat="1" ht="13.2" x14ac:dyDescent="0.3">
      <c r="A176" s="6"/>
      <c r="E176" s="5">
        <v>174</v>
      </c>
      <c r="F176" s="5">
        <f t="shared" si="19"/>
        <v>174</v>
      </c>
      <c r="G176" s="8">
        <f t="shared" si="21"/>
        <v>1.7527710163944832E-4</v>
      </c>
      <c r="H176" s="8">
        <f t="shared" si="22"/>
        <v>499.99707873204039</v>
      </c>
      <c r="I176" s="8">
        <f t="shared" si="20"/>
        <v>0</v>
      </c>
      <c r="J176" s="8">
        <f t="shared" si="23"/>
        <v>1000</v>
      </c>
      <c r="K176" s="8">
        <f t="shared" si="24"/>
        <v>2.0000116851401093</v>
      </c>
      <c r="L176" s="8">
        <f t="shared" si="25"/>
        <v>50</v>
      </c>
      <c r="M176" s="8">
        <f t="shared" si="26"/>
        <v>100.00058425700547</v>
      </c>
      <c r="N176" s="8">
        <f t="shared" si="18"/>
        <v>1.0000058425700546</v>
      </c>
    </row>
    <row r="177" spans="1:14" s="5" customFormat="1" ht="13.2" x14ac:dyDescent="0.3">
      <c r="A177" s="6"/>
      <c r="E177" s="5">
        <v>175</v>
      </c>
      <c r="F177" s="5">
        <f t="shared" si="19"/>
        <v>175</v>
      </c>
      <c r="G177" s="8">
        <f t="shared" si="21"/>
        <v>1.6476035634482855E-4</v>
      </c>
      <c r="H177" s="8">
        <f t="shared" si="22"/>
        <v>499.99725400914201</v>
      </c>
      <c r="I177" s="8">
        <f t="shared" si="20"/>
        <v>0</v>
      </c>
      <c r="J177" s="8">
        <f t="shared" si="23"/>
        <v>1000</v>
      </c>
      <c r="K177" s="8">
        <f t="shared" si="24"/>
        <v>2.0000109840237559</v>
      </c>
      <c r="L177" s="8">
        <f t="shared" si="25"/>
        <v>50.000000000000014</v>
      </c>
      <c r="M177" s="8">
        <f t="shared" si="26"/>
        <v>100.00054920118782</v>
      </c>
      <c r="N177" s="8">
        <f t="shared" si="18"/>
        <v>1.0000054920118782</v>
      </c>
    </row>
    <row r="178" spans="1:14" s="5" customFormat="1" ht="13.2" x14ac:dyDescent="0.3">
      <c r="A178" s="6"/>
      <c r="E178" s="5">
        <v>176</v>
      </c>
      <c r="F178" s="5">
        <f t="shared" si="19"/>
        <v>176</v>
      </c>
      <c r="G178" s="8">
        <f t="shared" si="21"/>
        <v>1.5487462962759935E-4</v>
      </c>
      <c r="H178" s="8">
        <f t="shared" si="22"/>
        <v>499.99741876949838</v>
      </c>
      <c r="I178" s="8">
        <f t="shared" si="20"/>
        <v>0</v>
      </c>
      <c r="J178" s="8">
        <f t="shared" si="23"/>
        <v>1000</v>
      </c>
      <c r="K178" s="8">
        <f t="shared" si="24"/>
        <v>2.000010324975309</v>
      </c>
      <c r="L178" s="8">
        <f t="shared" si="25"/>
        <v>49.999999999999993</v>
      </c>
      <c r="M178" s="8">
        <f t="shared" si="26"/>
        <v>100.00051624876544</v>
      </c>
      <c r="N178" s="8">
        <f t="shared" si="18"/>
        <v>1.0000051624876543</v>
      </c>
    </row>
    <row r="179" spans="1:14" s="5" customFormat="1" ht="13.2" x14ac:dyDescent="0.3">
      <c r="A179" s="6"/>
      <c r="E179" s="5">
        <v>177</v>
      </c>
      <c r="F179" s="5">
        <f t="shared" si="19"/>
        <v>177</v>
      </c>
      <c r="G179" s="8">
        <f t="shared" si="21"/>
        <v>1.4558205878811847E-4</v>
      </c>
      <c r="H179" s="8">
        <f t="shared" si="22"/>
        <v>499.99757364412801</v>
      </c>
      <c r="I179" s="8">
        <f t="shared" si="20"/>
        <v>0</v>
      </c>
      <c r="J179" s="8">
        <f t="shared" si="23"/>
        <v>1000</v>
      </c>
      <c r="K179" s="8">
        <f t="shared" si="24"/>
        <v>2.0000097054705859</v>
      </c>
      <c r="L179" s="8">
        <f t="shared" si="25"/>
        <v>50</v>
      </c>
      <c r="M179" s="8">
        <f t="shared" si="26"/>
        <v>100.00048527352929</v>
      </c>
      <c r="N179" s="8">
        <f t="shared" si="18"/>
        <v>1.0000048527352929</v>
      </c>
    </row>
    <row r="180" spans="1:14" s="5" customFormat="1" ht="13.2" x14ac:dyDescent="0.3">
      <c r="A180" s="6"/>
      <c r="E180" s="5">
        <v>178</v>
      </c>
      <c r="F180" s="5">
        <f t="shared" si="19"/>
        <v>178</v>
      </c>
      <c r="G180" s="8">
        <f t="shared" si="21"/>
        <v>1.3684705302274836E-4</v>
      </c>
      <c r="H180" s="8">
        <f t="shared" si="22"/>
        <v>499.9977192261868</v>
      </c>
      <c r="I180" s="8">
        <f t="shared" si="20"/>
        <v>0</v>
      </c>
      <c r="J180" s="8">
        <f t="shared" si="23"/>
        <v>1000</v>
      </c>
      <c r="K180" s="8">
        <f t="shared" si="24"/>
        <v>2.0000091231368686</v>
      </c>
      <c r="L180" s="8">
        <f t="shared" si="25"/>
        <v>49.999999999999993</v>
      </c>
      <c r="M180" s="8">
        <f t="shared" si="26"/>
        <v>100.00045615684341</v>
      </c>
      <c r="N180" s="8">
        <f t="shared" si="18"/>
        <v>1.0000045615684341</v>
      </c>
    </row>
    <row r="181" spans="1:14" s="5" customFormat="1" ht="13.2" x14ac:dyDescent="0.3">
      <c r="A181" s="6"/>
      <c r="E181" s="5">
        <v>179</v>
      </c>
      <c r="F181" s="5">
        <f t="shared" si="19"/>
        <v>179</v>
      </c>
      <c r="G181" s="8">
        <f t="shared" si="21"/>
        <v>1.2863615718616828E-4</v>
      </c>
      <c r="H181" s="8">
        <f t="shared" si="22"/>
        <v>499.9978560732398</v>
      </c>
      <c r="I181" s="8">
        <f t="shared" si="20"/>
        <v>0</v>
      </c>
      <c r="J181" s="8">
        <f t="shared" si="23"/>
        <v>1000</v>
      </c>
      <c r="K181" s="8">
        <f t="shared" si="24"/>
        <v>2.0000085757438124</v>
      </c>
      <c r="L181" s="8">
        <f t="shared" si="25"/>
        <v>50</v>
      </c>
      <c r="M181" s="8">
        <f t="shared" si="26"/>
        <v>100.00042878719061</v>
      </c>
      <c r="N181" s="8">
        <f t="shared" si="18"/>
        <v>1.0000042878719062</v>
      </c>
    </row>
    <row r="182" spans="1:14" s="5" customFormat="1" ht="13.2" x14ac:dyDescent="0.3">
      <c r="A182" s="6"/>
      <c r="E182" s="5">
        <v>180</v>
      </c>
      <c r="F182" s="5">
        <f t="shared" si="19"/>
        <v>180</v>
      </c>
      <c r="G182" s="8">
        <f t="shared" si="21"/>
        <v>1.2091792354729236E-4</v>
      </c>
      <c r="H182" s="8">
        <f t="shared" si="22"/>
        <v>499.99798470939697</v>
      </c>
      <c r="I182" s="8">
        <f t="shared" si="20"/>
        <v>0</v>
      </c>
      <c r="J182" s="8">
        <f t="shared" si="23"/>
        <v>1000</v>
      </c>
      <c r="K182" s="8">
        <f t="shared" si="24"/>
        <v>2.0000080611949036</v>
      </c>
      <c r="L182" s="8">
        <f t="shared" si="25"/>
        <v>49.999999999999993</v>
      </c>
      <c r="M182" s="8">
        <f t="shared" si="26"/>
        <v>100.00040305974517</v>
      </c>
      <c r="N182" s="8">
        <f t="shared" si="18"/>
        <v>1.0000040305974516</v>
      </c>
    </row>
    <row r="183" spans="1:14" s="5" customFormat="1" ht="13.2" x14ac:dyDescent="0.3">
      <c r="A183" s="6"/>
      <c r="E183" s="5">
        <v>181</v>
      </c>
      <c r="F183" s="5">
        <f t="shared" si="19"/>
        <v>181</v>
      </c>
      <c r="G183" s="8">
        <f t="shared" si="21"/>
        <v>1.136627914122279E-4</v>
      </c>
      <c r="H183" s="8">
        <f t="shared" si="22"/>
        <v>499.99810562732051</v>
      </c>
      <c r="I183" s="8">
        <f t="shared" si="20"/>
        <v>0</v>
      </c>
      <c r="J183" s="8">
        <f t="shared" si="23"/>
        <v>1000</v>
      </c>
      <c r="K183" s="8">
        <f t="shared" si="24"/>
        <v>2.000007577519427</v>
      </c>
      <c r="L183" s="8">
        <f t="shared" si="25"/>
        <v>50.000000000000014</v>
      </c>
      <c r="M183" s="8">
        <f t="shared" si="26"/>
        <v>100.00037887597138</v>
      </c>
      <c r="N183" s="8">
        <f t="shared" si="18"/>
        <v>1.0000037887597137</v>
      </c>
    </row>
    <row r="184" spans="1:14" s="5" customFormat="1" ht="13.2" x14ac:dyDescent="0.3">
      <c r="A184" s="6"/>
      <c r="E184" s="5">
        <v>182</v>
      </c>
      <c r="F184" s="5">
        <f t="shared" si="19"/>
        <v>182</v>
      </c>
      <c r="G184" s="8">
        <f t="shared" si="21"/>
        <v>1.068429738015908E-4</v>
      </c>
      <c r="H184" s="8">
        <f t="shared" si="22"/>
        <v>499.99821929011193</v>
      </c>
      <c r="I184" s="8">
        <f t="shared" si="20"/>
        <v>0</v>
      </c>
      <c r="J184" s="8">
        <f t="shared" si="23"/>
        <v>1000</v>
      </c>
      <c r="K184" s="8">
        <f t="shared" si="24"/>
        <v>2.0000071228649197</v>
      </c>
      <c r="L184" s="8">
        <f t="shared" si="25"/>
        <v>50.000000000000014</v>
      </c>
      <c r="M184" s="8">
        <f t="shared" si="26"/>
        <v>100.00035614324601</v>
      </c>
      <c r="N184" s="8">
        <f t="shared" si="18"/>
        <v>1.0000035614324601</v>
      </c>
    </row>
    <row r="185" spans="1:14" s="5" customFormat="1" ht="13.2" x14ac:dyDescent="0.3">
      <c r="A185" s="6"/>
      <c r="E185" s="5">
        <v>183</v>
      </c>
      <c r="F185" s="5">
        <f t="shared" si="19"/>
        <v>183</v>
      </c>
      <c r="G185" s="8">
        <f t="shared" si="21"/>
        <v>1.0043235107559667E-4</v>
      </c>
      <c r="H185" s="8">
        <f t="shared" si="22"/>
        <v>499.99832613308575</v>
      </c>
      <c r="I185" s="8">
        <f t="shared" si="20"/>
        <v>0</v>
      </c>
      <c r="J185" s="8">
        <f t="shared" si="23"/>
        <v>1000</v>
      </c>
      <c r="K185" s="8">
        <f t="shared" si="24"/>
        <v>2.0000066954900717</v>
      </c>
      <c r="L185" s="8">
        <f t="shared" si="25"/>
        <v>50</v>
      </c>
      <c r="M185" s="8">
        <f t="shared" si="26"/>
        <v>100.00033477450359</v>
      </c>
      <c r="N185" s="8">
        <f t="shared" si="18"/>
        <v>1.0000033477450359</v>
      </c>
    </row>
    <row r="186" spans="1:14" s="5" customFormat="1" ht="13.2" x14ac:dyDescent="0.3">
      <c r="A186" s="6"/>
      <c r="E186" s="5">
        <v>184</v>
      </c>
      <c r="F186" s="5">
        <f t="shared" si="19"/>
        <v>184</v>
      </c>
      <c r="G186" s="8">
        <f t="shared" si="21"/>
        <v>9.4406370874100531E-5</v>
      </c>
      <c r="H186" s="8">
        <f t="shared" si="22"/>
        <v>499.99842656543683</v>
      </c>
      <c r="I186" s="8">
        <f t="shared" si="20"/>
        <v>0</v>
      </c>
      <c r="J186" s="8">
        <f t="shared" si="23"/>
        <v>1000</v>
      </c>
      <c r="K186" s="8">
        <f t="shared" si="24"/>
        <v>2.0000062937580583</v>
      </c>
      <c r="L186" s="8">
        <f t="shared" si="25"/>
        <v>50</v>
      </c>
      <c r="M186" s="8">
        <f t="shared" si="26"/>
        <v>100.00031468790291</v>
      </c>
      <c r="N186" s="8">
        <f t="shared" si="18"/>
        <v>1.0000031468790291</v>
      </c>
    </row>
    <row r="187" spans="1:14" s="5" customFormat="1" ht="13.2" x14ac:dyDescent="0.3">
      <c r="A187" s="6"/>
      <c r="E187" s="5">
        <v>185</v>
      </c>
      <c r="F187" s="5">
        <f t="shared" si="19"/>
        <v>185</v>
      </c>
      <c r="G187" s="8">
        <f t="shared" si="21"/>
        <v>8.8741954038518145E-5</v>
      </c>
      <c r="H187" s="8">
        <f t="shared" si="22"/>
        <v>499.99852097180769</v>
      </c>
      <c r="I187" s="8">
        <f t="shared" si="20"/>
        <v>0</v>
      </c>
      <c r="J187" s="8">
        <f t="shared" si="23"/>
        <v>1000</v>
      </c>
      <c r="K187" s="8">
        <f t="shared" si="24"/>
        <v>2.0000059161302697</v>
      </c>
      <c r="L187" s="8">
        <f t="shared" si="25"/>
        <v>49.999999999999993</v>
      </c>
      <c r="M187" s="8">
        <f t="shared" si="26"/>
        <v>100.00029580651346</v>
      </c>
      <c r="N187" s="8">
        <f t="shared" si="18"/>
        <v>1.0000029580651346</v>
      </c>
    </row>
    <row r="188" spans="1:14" s="5" customFormat="1" ht="13.2" x14ac:dyDescent="0.3">
      <c r="A188" s="6"/>
      <c r="E188" s="5">
        <v>186</v>
      </c>
      <c r="F188" s="5">
        <f t="shared" si="19"/>
        <v>186</v>
      </c>
      <c r="G188" s="8">
        <f t="shared" si="21"/>
        <v>8.3417406249175485E-5</v>
      </c>
      <c r="H188" s="8">
        <f t="shared" si="22"/>
        <v>499.99860971376171</v>
      </c>
      <c r="I188" s="8">
        <f t="shared" si="20"/>
        <v>0</v>
      </c>
      <c r="J188" s="8">
        <f t="shared" si="23"/>
        <v>1000</v>
      </c>
      <c r="K188" s="8">
        <f t="shared" si="24"/>
        <v>2.0000055611604162</v>
      </c>
      <c r="L188" s="8">
        <f t="shared" si="25"/>
        <v>50.000000000000014</v>
      </c>
      <c r="M188" s="8">
        <f t="shared" si="26"/>
        <v>100.00027805802084</v>
      </c>
      <c r="N188" s="8">
        <f t="shared" si="18"/>
        <v>1.0000027805802083</v>
      </c>
    </row>
    <row r="189" spans="1:14" s="5" customFormat="1" ht="13.2" x14ac:dyDescent="0.3">
      <c r="A189" s="6"/>
      <c r="E189" s="5">
        <v>187</v>
      </c>
      <c r="F189" s="5">
        <f t="shared" si="19"/>
        <v>187</v>
      </c>
      <c r="G189" s="8">
        <f t="shared" si="21"/>
        <v>7.841233487182464E-5</v>
      </c>
      <c r="H189" s="8">
        <f t="shared" si="22"/>
        <v>499.99869313116795</v>
      </c>
      <c r="I189" s="8">
        <f t="shared" si="20"/>
        <v>0</v>
      </c>
      <c r="J189" s="8">
        <f t="shared" si="23"/>
        <v>1000</v>
      </c>
      <c r="K189" s="8">
        <f t="shared" si="24"/>
        <v>2.0000052274889915</v>
      </c>
      <c r="L189" s="8">
        <f t="shared" si="25"/>
        <v>50</v>
      </c>
      <c r="M189" s="8">
        <f t="shared" si="26"/>
        <v>100.00026137444958</v>
      </c>
      <c r="N189" s="8">
        <f t="shared" si="18"/>
        <v>1.0000026137444957</v>
      </c>
    </row>
    <row r="190" spans="1:14" s="5" customFormat="1" ht="13.2" x14ac:dyDescent="0.3">
      <c r="A190" s="6"/>
      <c r="E190" s="5">
        <v>188</v>
      </c>
      <c r="F190" s="5">
        <f t="shared" si="19"/>
        <v>188</v>
      </c>
      <c r="G190" s="8">
        <f t="shared" si="21"/>
        <v>7.3707570920067411E-5</v>
      </c>
      <c r="H190" s="8">
        <f t="shared" si="22"/>
        <v>499.99877154350281</v>
      </c>
      <c r="I190" s="8">
        <f t="shared" si="20"/>
        <v>0</v>
      </c>
      <c r="J190" s="8">
        <f t="shared" si="23"/>
        <v>1000</v>
      </c>
      <c r="K190" s="8">
        <f t="shared" si="24"/>
        <v>2.0000049138380618</v>
      </c>
      <c r="L190" s="8">
        <f t="shared" si="25"/>
        <v>49.999999999999993</v>
      </c>
      <c r="M190" s="8">
        <f t="shared" si="26"/>
        <v>100.00024569190307</v>
      </c>
      <c r="N190" s="8">
        <f t="shared" si="18"/>
        <v>1.0000024569190307</v>
      </c>
    </row>
    <row r="191" spans="1:14" s="5" customFormat="1" ht="13.2" x14ac:dyDescent="0.3">
      <c r="A191" s="6"/>
      <c r="E191" s="5">
        <v>189</v>
      </c>
      <c r="F191" s="5">
        <f t="shared" si="19"/>
        <v>189</v>
      </c>
      <c r="G191" s="8">
        <f t="shared" si="21"/>
        <v>6.928509558745688E-5</v>
      </c>
      <c r="H191" s="8">
        <f t="shared" si="22"/>
        <v>499.99884525107376</v>
      </c>
      <c r="I191" s="8">
        <f t="shared" si="20"/>
        <v>0</v>
      </c>
      <c r="J191" s="8">
        <f t="shared" si="23"/>
        <v>1000</v>
      </c>
      <c r="K191" s="8">
        <f t="shared" si="24"/>
        <v>2.0000046190063725</v>
      </c>
      <c r="L191" s="8">
        <f t="shared" si="25"/>
        <v>50</v>
      </c>
      <c r="M191" s="8">
        <f t="shared" si="26"/>
        <v>100.00023095031862</v>
      </c>
      <c r="N191" s="8">
        <f t="shared" si="18"/>
        <v>1.0000023095031862</v>
      </c>
    </row>
    <row r="192" spans="1:14" s="5" customFormat="1" ht="13.2" x14ac:dyDescent="0.3">
      <c r="A192" s="6"/>
      <c r="E192" s="5">
        <v>190</v>
      </c>
      <c r="F192" s="5">
        <f t="shared" si="19"/>
        <v>190</v>
      </c>
      <c r="G192" s="8">
        <f t="shared" si="21"/>
        <v>6.5127971222711523E-5</v>
      </c>
      <c r="H192" s="8">
        <f t="shared" si="22"/>
        <v>499.99891453616937</v>
      </c>
      <c r="I192" s="8">
        <f t="shared" si="20"/>
        <v>0</v>
      </c>
      <c r="J192" s="8">
        <f t="shared" si="23"/>
        <v>1000</v>
      </c>
      <c r="K192" s="8">
        <f t="shared" si="24"/>
        <v>2.0000043418647486</v>
      </c>
      <c r="L192" s="8">
        <f t="shared" si="25"/>
        <v>49.999999999999993</v>
      </c>
      <c r="M192" s="8">
        <f t="shared" si="26"/>
        <v>100.00021709323741</v>
      </c>
      <c r="N192" s="8">
        <f t="shared" si="18"/>
        <v>1.0000021709323741</v>
      </c>
    </row>
    <row r="193" spans="1:14" s="5" customFormat="1" ht="13.2" x14ac:dyDescent="0.3">
      <c r="A193" s="6"/>
      <c r="E193" s="5">
        <v>191</v>
      </c>
      <c r="F193" s="5">
        <f t="shared" si="19"/>
        <v>191</v>
      </c>
      <c r="G193" s="8">
        <f t="shared" si="21"/>
        <v>6.1220276501572357E-5</v>
      </c>
      <c r="H193" s="8">
        <f t="shared" si="22"/>
        <v>499.99897966414056</v>
      </c>
      <c r="I193" s="8">
        <f t="shared" si="20"/>
        <v>0</v>
      </c>
      <c r="J193" s="8">
        <f t="shared" si="23"/>
        <v>1000</v>
      </c>
      <c r="K193" s="8">
        <f t="shared" si="24"/>
        <v>2.0000040813517663</v>
      </c>
      <c r="L193" s="8">
        <f t="shared" si="25"/>
        <v>50.000000000000014</v>
      </c>
      <c r="M193" s="8">
        <f t="shared" si="26"/>
        <v>100.00020406758834</v>
      </c>
      <c r="N193" s="8">
        <f t="shared" si="18"/>
        <v>1.0000020406758834</v>
      </c>
    </row>
    <row r="194" spans="1:14" s="5" customFormat="1" ht="13.2" x14ac:dyDescent="0.3">
      <c r="A194" s="6"/>
      <c r="E194" s="5">
        <v>192</v>
      </c>
      <c r="F194" s="5">
        <f t="shared" si="19"/>
        <v>192</v>
      </c>
      <c r="G194" s="8">
        <f t="shared" si="21"/>
        <v>5.7547045368977479E-5</v>
      </c>
      <c r="H194" s="8">
        <f t="shared" si="22"/>
        <v>499.99904088441707</v>
      </c>
      <c r="I194" s="8">
        <f t="shared" si="20"/>
        <v>0</v>
      </c>
      <c r="J194" s="8">
        <f t="shared" si="23"/>
        <v>1000</v>
      </c>
      <c r="K194" s="8">
        <f t="shared" si="24"/>
        <v>2.0000038364696908</v>
      </c>
      <c r="L194" s="8">
        <f t="shared" si="25"/>
        <v>50.000000000000014</v>
      </c>
      <c r="M194" s="8">
        <f t="shared" si="26"/>
        <v>100.00019182348457</v>
      </c>
      <c r="N194" s="8">
        <f t="shared" ref="N194:N202" si="27">M194/$B$10</f>
        <v>1.0000019182348456</v>
      </c>
    </row>
    <row r="195" spans="1:14" s="5" customFormat="1" ht="13.2" x14ac:dyDescent="0.3">
      <c r="A195" s="6"/>
      <c r="E195" s="5">
        <v>193</v>
      </c>
      <c r="F195" s="5">
        <f t="shared" ref="F195:F202" si="28">E195*$B$2</f>
        <v>193</v>
      </c>
      <c r="G195" s="8">
        <f t="shared" si="21"/>
        <v>5.4094209798183357E-5</v>
      </c>
      <c r="H195" s="8">
        <f t="shared" si="22"/>
        <v>499.99909843146241</v>
      </c>
      <c r="I195" s="8">
        <f t="shared" ref="I195:I202" si="29">H195*$B$5*$B$2*MAX(0,1-N195)</f>
        <v>0</v>
      </c>
      <c r="J195" s="8">
        <f t="shared" si="23"/>
        <v>1000</v>
      </c>
      <c r="K195" s="8">
        <f t="shared" si="24"/>
        <v>2.0000036062806528</v>
      </c>
      <c r="L195" s="8">
        <f t="shared" si="25"/>
        <v>50.000000000000014</v>
      </c>
      <c r="M195" s="8">
        <f t="shared" si="26"/>
        <v>100.00018031403266</v>
      </c>
      <c r="N195" s="8">
        <f t="shared" si="27"/>
        <v>1.0000018031403266</v>
      </c>
    </row>
    <row r="196" spans="1:14" s="5" customFormat="1" ht="13.2" x14ac:dyDescent="0.3">
      <c r="A196" s="6"/>
      <c r="E196" s="5">
        <v>194</v>
      </c>
      <c r="F196" s="5">
        <f t="shared" si="28"/>
        <v>194</v>
      </c>
      <c r="G196" s="8">
        <f t="shared" ref="G196:G202" si="30">MAX(0,IF(N196&gt;=1,J196*$B$4*$B$2*(N196-1),0))</f>
        <v>5.0848545847248516E-5</v>
      </c>
      <c r="H196" s="8">
        <f t="shared" ref="H196:H202" si="31">H195+(G195-I195)</f>
        <v>499.99915252567223</v>
      </c>
      <c r="I196" s="8">
        <f t="shared" si="29"/>
        <v>0</v>
      </c>
      <c r="J196" s="8">
        <f t="shared" ref="J196:J202" si="32">IF(MOD(F196,3)=0,$B$6+$B$6*$B$12,IF(MOD(F196,7)=0,$B$6-$B$6*$B$12,$B$6))</f>
        <v>1000</v>
      </c>
      <c r="K196" s="8">
        <f t="shared" ref="K196:K202" si="33">MIN($B$11,J196/H196)</f>
        <v>2.0000033899030569</v>
      </c>
      <c r="L196" s="8">
        <f t="shared" ref="L196:L202" si="34">$B$8*(J196/(H196*K196))</f>
        <v>49.999999999999993</v>
      </c>
      <c r="M196" s="8">
        <f t="shared" ref="M196:M202" si="35">K196*L196</f>
        <v>100.00016949515283</v>
      </c>
      <c r="N196" s="8">
        <f t="shared" si="27"/>
        <v>1.0000016949515282</v>
      </c>
    </row>
    <row r="197" spans="1:14" s="5" customFormat="1" ht="13.2" x14ac:dyDescent="0.3">
      <c r="A197" s="6"/>
      <c r="E197" s="5">
        <v>195</v>
      </c>
      <c r="F197" s="5">
        <f t="shared" si="28"/>
        <v>195</v>
      </c>
      <c r="G197" s="8">
        <f t="shared" si="30"/>
        <v>4.7797623066170303E-5</v>
      </c>
      <c r="H197" s="8">
        <f t="shared" si="31"/>
        <v>499.9992033742181</v>
      </c>
      <c r="I197" s="8">
        <f t="shared" si="29"/>
        <v>0</v>
      </c>
      <c r="J197" s="8">
        <f t="shared" si="32"/>
        <v>1000</v>
      </c>
      <c r="K197" s="8">
        <f t="shared" si="33"/>
        <v>2.0000031865082044</v>
      </c>
      <c r="L197" s="8">
        <f t="shared" si="34"/>
        <v>50</v>
      </c>
      <c r="M197" s="8">
        <f t="shared" si="35"/>
        <v>100.00015932541022</v>
      </c>
      <c r="N197" s="8">
        <f t="shared" si="27"/>
        <v>1.0000015932541022</v>
      </c>
    </row>
    <row r="198" spans="1:14" s="5" customFormat="1" ht="13.2" x14ac:dyDescent="0.3">
      <c r="A198" s="6"/>
      <c r="E198" s="5">
        <v>196</v>
      </c>
      <c r="F198" s="5">
        <f t="shared" si="28"/>
        <v>196</v>
      </c>
      <c r="G198" s="8">
        <f t="shared" si="30"/>
        <v>4.4929756821687761E-5</v>
      </c>
      <c r="H198" s="8">
        <f t="shared" si="31"/>
        <v>499.99925117184114</v>
      </c>
      <c r="I198" s="8">
        <f t="shared" si="29"/>
        <v>0</v>
      </c>
      <c r="J198" s="8">
        <f t="shared" si="32"/>
        <v>1000</v>
      </c>
      <c r="K198" s="8">
        <f t="shared" si="33"/>
        <v>2.0000029953171214</v>
      </c>
      <c r="L198" s="8">
        <f t="shared" si="34"/>
        <v>50</v>
      </c>
      <c r="M198" s="8">
        <f t="shared" si="35"/>
        <v>100.00014976585607</v>
      </c>
      <c r="N198" s="8">
        <f t="shared" si="27"/>
        <v>1.0000014976585607</v>
      </c>
    </row>
    <row r="199" spans="1:14" s="5" customFormat="1" ht="13.2" x14ac:dyDescent="0.3">
      <c r="A199" s="6"/>
      <c r="E199" s="5">
        <v>197</v>
      </c>
      <c r="F199" s="5">
        <f t="shared" si="28"/>
        <v>197</v>
      </c>
      <c r="G199" s="8">
        <f t="shared" si="30"/>
        <v>4.2233963579718647E-5</v>
      </c>
      <c r="H199" s="8">
        <f t="shared" si="31"/>
        <v>499.99929610159796</v>
      </c>
      <c r="I199" s="8">
        <f t="shared" si="29"/>
        <v>0</v>
      </c>
      <c r="J199" s="8">
        <f t="shared" si="32"/>
        <v>1000</v>
      </c>
      <c r="K199" s="8">
        <f t="shared" si="33"/>
        <v>2.000002815597572</v>
      </c>
      <c r="L199" s="8">
        <f t="shared" si="34"/>
        <v>50</v>
      </c>
      <c r="M199" s="8">
        <f t="shared" si="35"/>
        <v>100.00014077987859</v>
      </c>
      <c r="N199" s="8">
        <f t="shared" si="27"/>
        <v>1.000001407798786</v>
      </c>
    </row>
    <row r="200" spans="1:14" s="5" customFormat="1" ht="13.2" x14ac:dyDescent="0.3">
      <c r="A200" s="6"/>
      <c r="E200" s="5">
        <v>198</v>
      </c>
      <c r="F200" s="5">
        <f t="shared" si="28"/>
        <v>198</v>
      </c>
      <c r="G200" s="8">
        <f t="shared" si="30"/>
        <v>3.9699918845670368E-5</v>
      </c>
      <c r="H200" s="8">
        <f t="shared" si="31"/>
        <v>499.99933833556156</v>
      </c>
      <c r="I200" s="8">
        <f t="shared" si="29"/>
        <v>0</v>
      </c>
      <c r="J200" s="8">
        <f t="shared" si="32"/>
        <v>1000</v>
      </c>
      <c r="K200" s="8">
        <f t="shared" si="33"/>
        <v>2.0000026466612564</v>
      </c>
      <c r="L200" s="8">
        <f t="shared" si="34"/>
        <v>49.999999999999993</v>
      </c>
      <c r="M200" s="8">
        <f t="shared" si="35"/>
        <v>100.00013233306281</v>
      </c>
      <c r="N200" s="8">
        <f t="shared" si="27"/>
        <v>1.0000013233306282</v>
      </c>
    </row>
    <row r="201" spans="1:14" s="5" customFormat="1" ht="13.2" x14ac:dyDescent="0.3">
      <c r="A201" s="6"/>
      <c r="E201" s="5">
        <v>199</v>
      </c>
      <c r="F201" s="5">
        <f t="shared" si="28"/>
        <v>199</v>
      </c>
      <c r="G201" s="8">
        <f t="shared" si="30"/>
        <v>3.7317917596091377E-5</v>
      </c>
      <c r="H201" s="8">
        <f t="shared" si="31"/>
        <v>499.99937803548039</v>
      </c>
      <c r="I201" s="8">
        <f t="shared" si="29"/>
        <v>0</v>
      </c>
      <c r="J201" s="8">
        <f t="shared" si="32"/>
        <v>1000</v>
      </c>
      <c r="K201" s="8">
        <f t="shared" si="33"/>
        <v>2.0000024878611731</v>
      </c>
      <c r="L201" s="8">
        <f t="shared" si="34"/>
        <v>50</v>
      </c>
      <c r="M201" s="8">
        <f t="shared" si="35"/>
        <v>100.00012439305866</v>
      </c>
      <c r="N201" s="8">
        <f t="shared" si="27"/>
        <v>1.0000012439305865</v>
      </c>
    </row>
    <row r="202" spans="1:14" s="5" customFormat="1" ht="13.2" x14ac:dyDescent="0.3">
      <c r="A202" s="6"/>
      <c r="E202" s="5">
        <v>200</v>
      </c>
      <c r="F202" s="5">
        <f t="shared" si="28"/>
        <v>200</v>
      </c>
      <c r="G202" s="8">
        <f t="shared" si="30"/>
        <v>3.5078837135049667E-5</v>
      </c>
      <c r="H202" s="8">
        <f t="shared" si="31"/>
        <v>499.99941535339798</v>
      </c>
      <c r="I202" s="8">
        <f t="shared" si="29"/>
        <v>0</v>
      </c>
      <c r="J202" s="8">
        <f t="shared" si="32"/>
        <v>1000</v>
      </c>
      <c r="K202" s="8">
        <f t="shared" si="33"/>
        <v>2.0000023385891428</v>
      </c>
      <c r="L202" s="8">
        <f t="shared" si="34"/>
        <v>49.999999999999993</v>
      </c>
      <c r="M202" s="8">
        <f t="shared" si="35"/>
        <v>100.00011692945712</v>
      </c>
      <c r="N202" s="8">
        <f t="shared" si="27"/>
        <v>1.0000011692945712</v>
      </c>
    </row>
  </sheetData>
  <sheetProtection password="CC01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2"/>
  <sheetViews>
    <sheetView zoomScale="80" zoomScaleNormal="80" workbookViewId="0"/>
  </sheetViews>
  <sheetFormatPr defaultRowHeight="14.4" x14ac:dyDescent="0.3"/>
  <cols>
    <col min="1" max="1" width="22.33203125" style="11" customWidth="1"/>
    <col min="2" max="2" width="4.6640625" style="11" customWidth="1"/>
    <col min="3" max="3" width="7.6640625" style="11" customWidth="1"/>
    <col min="4" max="4" width="3" style="11" customWidth="1"/>
    <col min="5" max="6" width="4" style="11" customWidth="1"/>
    <col min="7" max="7" width="8.109375" style="11" customWidth="1"/>
    <col min="8" max="8" width="10" style="11" customWidth="1"/>
    <col min="9" max="9" width="9.5546875" style="11" customWidth="1"/>
    <col min="10" max="10" width="10" style="11" customWidth="1"/>
    <col min="11" max="11" width="8.88671875" style="11"/>
    <col min="12" max="12" width="8.109375" style="11" customWidth="1"/>
    <col min="13" max="13" width="10.88671875" style="11" customWidth="1"/>
    <col min="14" max="14" width="7.44140625" style="11" customWidth="1"/>
    <col min="15" max="15" width="4.6640625" style="11" customWidth="1"/>
    <col min="16" max="16384" width="8.88671875" style="11"/>
  </cols>
  <sheetData>
    <row r="1" spans="1:19" s="5" customFormat="1" ht="46.8" customHeight="1" x14ac:dyDescent="0.3">
      <c r="A1" s="4" t="s">
        <v>37</v>
      </c>
      <c r="G1" s="5" t="s">
        <v>17</v>
      </c>
      <c r="H1" s="5" t="s">
        <v>26</v>
      </c>
      <c r="I1" s="5" t="s">
        <v>19</v>
      </c>
      <c r="J1" s="5" t="s">
        <v>27</v>
      </c>
      <c r="K1" s="5" t="s">
        <v>22</v>
      </c>
      <c r="L1" s="5" t="s">
        <v>23</v>
      </c>
      <c r="M1" s="5" t="s">
        <v>33</v>
      </c>
      <c r="N1" s="5" t="s">
        <v>24</v>
      </c>
    </row>
    <row r="2" spans="1:19" s="5" customFormat="1" ht="16.2" customHeight="1" x14ac:dyDescent="0.3">
      <c r="A2" s="6" t="s">
        <v>0</v>
      </c>
      <c r="B2" s="7">
        <f>Model_1!B2</f>
        <v>1</v>
      </c>
      <c r="C2" s="5" t="s">
        <v>2</v>
      </c>
      <c r="E2" s="5">
        <v>0</v>
      </c>
      <c r="F2" s="5">
        <f>E2*$B$2</f>
        <v>0</v>
      </c>
      <c r="G2" s="8">
        <v>0</v>
      </c>
      <c r="H2" s="8">
        <f>B3</f>
        <v>300</v>
      </c>
      <c r="I2" s="8">
        <v>0</v>
      </c>
      <c r="J2" s="8">
        <f>B6</f>
        <v>1000</v>
      </c>
      <c r="K2" s="8">
        <v>0</v>
      </c>
      <c r="L2" s="8">
        <v>0</v>
      </c>
      <c r="M2" s="8">
        <f>K2*L2</f>
        <v>0</v>
      </c>
      <c r="N2" s="8">
        <f t="shared" ref="N2:N65" si="0">M2/$B$10</f>
        <v>0</v>
      </c>
      <c r="O2" s="8"/>
      <c r="P2" s="8"/>
      <c r="Q2" s="8"/>
      <c r="R2" s="8"/>
      <c r="S2" s="8"/>
    </row>
    <row r="3" spans="1:19" s="5" customFormat="1" ht="16.2" customHeight="1" x14ac:dyDescent="0.3">
      <c r="A3" s="6" t="s">
        <v>7</v>
      </c>
      <c r="B3" s="7">
        <f>Model_1!B3</f>
        <v>300</v>
      </c>
      <c r="C3" s="5" t="s">
        <v>3</v>
      </c>
      <c r="E3" s="5">
        <v>1</v>
      </c>
      <c r="F3" s="5">
        <f t="shared" ref="F3:F66" si="1">E3*$B$2</f>
        <v>1</v>
      </c>
      <c r="G3" s="8">
        <f>MAX(0,IF(N3&gt;=1,J3*$B$4*$B$2*(N3-1),0))</f>
        <v>20.000000000000007</v>
      </c>
      <c r="H3" s="8">
        <f>H2+(G2-I2)</f>
        <v>300</v>
      </c>
      <c r="I3" s="8">
        <f t="shared" ref="I3:I8" si="2">H3*$B$5*$B$2*MAX(0,1-N3)</f>
        <v>0</v>
      </c>
      <c r="J3" s="8">
        <f>IF(MOD(F3,3)=0,$B$6+$B$6*$B$12,IF(MOD(F3,7)=0,$B$6-$B$6*$B$12,$B$6))</f>
        <v>1000</v>
      </c>
      <c r="K3" s="8">
        <f>MIN($B$11,J3/H3)</f>
        <v>3</v>
      </c>
      <c r="L3" s="8">
        <f>$B$8*(J3/(H3*K3))</f>
        <v>55.555555555555557</v>
      </c>
      <c r="M3" s="8">
        <f>K3*L3</f>
        <v>166.66666666666669</v>
      </c>
      <c r="N3" s="8">
        <f>M3/$B$10</f>
        <v>1.666666666666667</v>
      </c>
      <c r="O3" s="8"/>
      <c r="P3" s="8"/>
      <c r="Q3" s="8"/>
      <c r="R3" s="8"/>
      <c r="S3" s="8"/>
    </row>
    <row r="4" spans="1:19" s="5" customFormat="1" ht="16.2" customHeight="1" x14ac:dyDescent="0.3">
      <c r="A4" s="6" t="s">
        <v>8</v>
      </c>
      <c r="B4" s="7">
        <f>Model_1!B4</f>
        <v>0.03</v>
      </c>
      <c r="C4" s="5" t="s">
        <v>4</v>
      </c>
      <c r="E4" s="5">
        <v>2</v>
      </c>
      <c r="F4" s="5">
        <f t="shared" si="1"/>
        <v>2</v>
      </c>
      <c r="G4" s="8">
        <f>MAX(0,IF(N4&gt;=1,J4*$B$4*$B$2*(N4-1),0))</f>
        <v>16.875</v>
      </c>
      <c r="H4" s="8">
        <f t="shared" ref="H4:H67" si="3">H3+(G3-I3)</f>
        <v>320</v>
      </c>
      <c r="I4" s="8">
        <f>H4*$B$5*$B$2*MAX(0,1-N4)</f>
        <v>0</v>
      </c>
      <c r="J4" s="8">
        <f t="shared" ref="J4:J67" si="4">IF(MOD(F4,3)=0,$B$6+$B$6*$B$12,IF(MOD(F4,7)=0,$B$6-$B$6*$B$12,$B$6))</f>
        <v>1000</v>
      </c>
      <c r="K4" s="8">
        <f t="shared" ref="K4:K67" si="5">MIN($B$11,J4/H4)</f>
        <v>3</v>
      </c>
      <c r="L4" s="8">
        <f>$B$8*(J4/(H4*K4))</f>
        <v>52.083333333333336</v>
      </c>
      <c r="M4" s="8">
        <f t="shared" ref="M4:M66" si="6">K4*L4</f>
        <v>156.25</v>
      </c>
      <c r="N4" s="8">
        <f t="shared" si="0"/>
        <v>1.5625</v>
      </c>
      <c r="O4" s="8"/>
      <c r="P4" s="8"/>
      <c r="Q4" s="8"/>
      <c r="R4" s="8"/>
      <c r="S4" s="8"/>
    </row>
    <row r="5" spans="1:19" s="5" customFormat="1" ht="16.2" customHeight="1" x14ac:dyDescent="0.3">
      <c r="A5" s="6" t="s">
        <v>9</v>
      </c>
      <c r="B5" s="7">
        <f>Model_1!B5</f>
        <v>0.04</v>
      </c>
      <c r="C5" s="5" t="s">
        <v>4</v>
      </c>
      <c r="E5" s="5">
        <v>3</v>
      </c>
      <c r="F5" s="5">
        <f t="shared" si="1"/>
        <v>3</v>
      </c>
      <c r="G5" s="8">
        <f t="shared" ref="G5:G67" si="7">MAX(0,IF(N5&gt;=1,J5*$B$4*$B$2*(N5-1),0))</f>
        <v>65.988868274582558</v>
      </c>
      <c r="H5" s="8">
        <f t="shared" si="3"/>
        <v>336.875</v>
      </c>
      <c r="I5" s="8">
        <f t="shared" si="2"/>
        <v>0</v>
      </c>
      <c r="J5" s="8">
        <f t="shared" si="4"/>
        <v>1600</v>
      </c>
      <c r="K5" s="8">
        <f t="shared" si="5"/>
        <v>3</v>
      </c>
      <c r="L5" s="8">
        <f t="shared" ref="L5:L66" si="8">$B$8*(J5/(H5*K5))</f>
        <v>79.158936301793446</v>
      </c>
      <c r="M5" s="8">
        <f t="shared" si="6"/>
        <v>237.47680890538032</v>
      </c>
      <c r="N5" s="8">
        <f t="shared" si="0"/>
        <v>2.3747680890538034</v>
      </c>
      <c r="O5" s="8"/>
      <c r="P5" s="8"/>
      <c r="Q5" s="8"/>
      <c r="R5" s="8"/>
      <c r="S5" s="8"/>
    </row>
    <row r="6" spans="1:19" s="5" customFormat="1" ht="15" customHeight="1" x14ac:dyDescent="0.3">
      <c r="A6" s="6" t="s">
        <v>10</v>
      </c>
      <c r="B6" s="7">
        <f>Model_1!B6</f>
        <v>1000</v>
      </c>
      <c r="C6" s="5" t="s">
        <v>21</v>
      </c>
      <c r="E6" s="5">
        <v>4</v>
      </c>
      <c r="F6" s="5">
        <f t="shared" si="1"/>
        <v>4</v>
      </c>
      <c r="G6" s="8">
        <f t="shared" si="7"/>
        <v>7.2334209673436201</v>
      </c>
      <c r="H6" s="8">
        <f t="shared" si="3"/>
        <v>402.86386827458256</v>
      </c>
      <c r="I6" s="8">
        <f t="shared" si="2"/>
        <v>0</v>
      </c>
      <c r="J6" s="8">
        <f t="shared" si="4"/>
        <v>1000</v>
      </c>
      <c r="K6" s="8">
        <f t="shared" si="5"/>
        <v>2.4822280644895747</v>
      </c>
      <c r="L6" s="8">
        <f t="shared" si="8"/>
        <v>50</v>
      </c>
      <c r="M6" s="8">
        <f t="shared" si="6"/>
        <v>124.11140322447874</v>
      </c>
      <c r="N6" s="8">
        <f t="shared" si="0"/>
        <v>1.2411140322447873</v>
      </c>
      <c r="O6" s="8"/>
      <c r="P6" s="8"/>
      <c r="Q6" s="8"/>
      <c r="R6" s="8"/>
      <c r="S6" s="8"/>
    </row>
    <row r="7" spans="1:19" s="5" customFormat="1" ht="15" customHeight="1" x14ac:dyDescent="0.3">
      <c r="A7" s="6" t="s">
        <v>36</v>
      </c>
      <c r="B7" s="7">
        <f>Model_1!B7</f>
        <v>0.33333333333333331</v>
      </c>
      <c r="C7" s="5" t="s">
        <v>2</v>
      </c>
      <c r="E7" s="5">
        <v>5</v>
      </c>
      <c r="F7" s="5">
        <f t="shared" si="1"/>
        <v>5</v>
      </c>
      <c r="G7" s="8">
        <f t="shared" si="7"/>
        <v>6.5766865412054472</v>
      </c>
      <c r="H7" s="8">
        <f t="shared" si="3"/>
        <v>410.09728924192621</v>
      </c>
      <c r="I7" s="8">
        <f t="shared" si="2"/>
        <v>0</v>
      </c>
      <c r="J7" s="8">
        <f t="shared" si="4"/>
        <v>1000</v>
      </c>
      <c r="K7" s="8">
        <f t="shared" si="5"/>
        <v>2.4384457694136965</v>
      </c>
      <c r="L7" s="8">
        <f t="shared" si="8"/>
        <v>50</v>
      </c>
      <c r="M7" s="8">
        <f t="shared" si="6"/>
        <v>121.92228847068482</v>
      </c>
      <c r="N7" s="8">
        <f t="shared" si="0"/>
        <v>1.2192228847068483</v>
      </c>
      <c r="O7" s="8"/>
      <c r="P7" s="8"/>
      <c r="Q7" s="8"/>
      <c r="R7" s="8"/>
      <c r="S7" s="8"/>
    </row>
    <row r="8" spans="1:19" s="5" customFormat="1" ht="15" customHeight="1" x14ac:dyDescent="0.3">
      <c r="A8" s="6" t="s">
        <v>11</v>
      </c>
      <c r="B8" s="7">
        <f>Model_1!B8</f>
        <v>50</v>
      </c>
      <c r="C8" s="5" t="s">
        <v>1</v>
      </c>
      <c r="E8" s="5">
        <v>6</v>
      </c>
      <c r="F8" s="5">
        <f t="shared" si="1"/>
        <v>6</v>
      </c>
      <c r="G8" s="8">
        <f t="shared" si="7"/>
        <v>44.15838336874257</v>
      </c>
      <c r="H8" s="8">
        <f t="shared" si="3"/>
        <v>416.67397578313165</v>
      </c>
      <c r="I8" s="8">
        <f t="shared" si="2"/>
        <v>0</v>
      </c>
      <c r="J8" s="8">
        <f t="shared" si="4"/>
        <v>1600</v>
      </c>
      <c r="K8" s="8">
        <f t="shared" si="5"/>
        <v>3</v>
      </c>
      <c r="L8" s="8">
        <f t="shared" si="8"/>
        <v>63.998877339404558</v>
      </c>
      <c r="M8" s="8">
        <f t="shared" si="6"/>
        <v>191.99663201821369</v>
      </c>
      <c r="N8" s="8">
        <f t="shared" si="0"/>
        <v>1.9199663201821369</v>
      </c>
      <c r="O8" s="8"/>
      <c r="P8" s="8"/>
      <c r="Q8" s="8"/>
      <c r="R8" s="8"/>
      <c r="S8" s="8"/>
    </row>
    <row r="9" spans="1:19" s="5" customFormat="1" ht="16.8" customHeight="1" x14ac:dyDescent="0.3">
      <c r="A9" s="6" t="s">
        <v>12</v>
      </c>
      <c r="B9" s="7">
        <f>Model_1!B9</f>
        <v>8.3333333333333329E-2</v>
      </c>
      <c r="C9" s="5" t="s">
        <v>2</v>
      </c>
      <c r="E9" s="5">
        <v>7</v>
      </c>
      <c r="F9" s="5">
        <f t="shared" si="1"/>
        <v>7</v>
      </c>
      <c r="G9" s="8">
        <f t="shared" si="7"/>
        <v>0</v>
      </c>
      <c r="H9" s="8">
        <f t="shared" si="3"/>
        <v>460.83235915187424</v>
      </c>
      <c r="I9" s="8">
        <f>H9*$B$5*$B$2*MAX(0,1-N9)</f>
        <v>10.433294366074971</v>
      </c>
      <c r="J9" s="8">
        <f t="shared" si="4"/>
        <v>400</v>
      </c>
      <c r="K9" s="8">
        <f t="shared" si="5"/>
        <v>0.86799460162947017</v>
      </c>
      <c r="L9" s="8">
        <f t="shared" si="8"/>
        <v>50</v>
      </c>
      <c r="M9" s="8">
        <f t="shared" si="6"/>
        <v>43.399730081473507</v>
      </c>
      <c r="N9" s="8">
        <f t="shared" si="0"/>
        <v>0.43399730081473509</v>
      </c>
      <c r="O9" s="8"/>
      <c r="P9" s="8"/>
      <c r="Q9" s="8"/>
      <c r="R9" s="8"/>
      <c r="S9" s="8"/>
    </row>
    <row r="10" spans="1:19" s="5" customFormat="1" ht="27.6" customHeight="1" x14ac:dyDescent="0.3">
      <c r="A10" s="6" t="s">
        <v>13</v>
      </c>
      <c r="B10" s="7">
        <f>Model_1!B10</f>
        <v>100</v>
      </c>
      <c r="C10" s="5" t="s">
        <v>5</v>
      </c>
      <c r="E10" s="5">
        <v>8</v>
      </c>
      <c r="F10" s="5">
        <f t="shared" si="1"/>
        <v>8</v>
      </c>
      <c r="G10" s="8">
        <f t="shared" si="7"/>
        <v>3.303799170039794</v>
      </c>
      <c r="H10" s="8">
        <f t="shared" si="3"/>
        <v>450.39906478579928</v>
      </c>
      <c r="I10" s="8">
        <f t="shared" ref="I10:I73" si="9">H10*$B$5*$B$2*MAX(0,1-N10)</f>
        <v>0</v>
      </c>
      <c r="J10" s="8">
        <f t="shared" si="4"/>
        <v>1000</v>
      </c>
      <c r="K10" s="8">
        <f t="shared" si="5"/>
        <v>2.2202532780026525</v>
      </c>
      <c r="L10" s="8">
        <f t="shared" si="8"/>
        <v>50.000000000000014</v>
      </c>
      <c r="M10" s="8">
        <f t="shared" si="6"/>
        <v>111.01266390013265</v>
      </c>
      <c r="N10" s="8">
        <f t="shared" si="0"/>
        <v>1.1101266390013265</v>
      </c>
      <c r="O10" s="8"/>
      <c r="P10" s="8"/>
      <c r="Q10" s="8"/>
      <c r="R10" s="8"/>
      <c r="S10" s="8"/>
    </row>
    <row r="11" spans="1:19" s="5" customFormat="1" ht="27" customHeight="1" x14ac:dyDescent="0.3">
      <c r="A11" s="6" t="s">
        <v>14</v>
      </c>
      <c r="B11" s="7">
        <f>Model_1!B11</f>
        <v>3</v>
      </c>
      <c r="C11" s="5" t="s">
        <v>15</v>
      </c>
      <c r="E11" s="5">
        <v>9</v>
      </c>
      <c r="F11" s="5">
        <f t="shared" si="1"/>
        <v>9</v>
      </c>
      <c r="G11" s="8">
        <f t="shared" si="7"/>
        <v>36.636891346001377</v>
      </c>
      <c r="H11" s="8">
        <f t="shared" si="3"/>
        <v>453.70286395583906</v>
      </c>
      <c r="I11" s="8">
        <f t="shared" si="9"/>
        <v>0</v>
      </c>
      <c r="J11" s="8">
        <f t="shared" si="4"/>
        <v>1600</v>
      </c>
      <c r="K11" s="8">
        <f t="shared" si="5"/>
        <v>3</v>
      </c>
      <c r="L11" s="8">
        <f t="shared" si="8"/>
        <v>58.775618990278744</v>
      </c>
      <c r="M11" s="8">
        <f t="shared" si="6"/>
        <v>176.32685697083622</v>
      </c>
      <c r="N11" s="8">
        <f t="shared" si="0"/>
        <v>1.7632685697083621</v>
      </c>
      <c r="O11" s="8"/>
      <c r="P11" s="8"/>
      <c r="Q11" s="8"/>
      <c r="R11" s="8"/>
      <c r="S11" s="8"/>
    </row>
    <row r="12" spans="1:19" s="5" customFormat="1" ht="13.2" customHeight="1" x14ac:dyDescent="0.3">
      <c r="A12" s="6" t="s">
        <v>16</v>
      </c>
      <c r="B12" s="7">
        <v>0.6</v>
      </c>
      <c r="E12" s="5">
        <v>10</v>
      </c>
      <c r="F12" s="5">
        <f t="shared" si="1"/>
        <v>10</v>
      </c>
      <c r="G12" s="8">
        <f t="shared" si="7"/>
        <v>0.59103374305513157</v>
      </c>
      <c r="H12" s="8">
        <f t="shared" si="3"/>
        <v>490.33975530184046</v>
      </c>
      <c r="I12" s="8">
        <f t="shared" si="9"/>
        <v>0</v>
      </c>
      <c r="J12" s="8">
        <f t="shared" si="4"/>
        <v>1000</v>
      </c>
      <c r="K12" s="8">
        <f t="shared" si="5"/>
        <v>2.0394022495370092</v>
      </c>
      <c r="L12" s="8">
        <f t="shared" si="8"/>
        <v>49.999999999999993</v>
      </c>
      <c r="M12" s="8">
        <f t="shared" si="6"/>
        <v>101.97011247685045</v>
      </c>
      <c r="N12" s="8">
        <f t="shared" si="0"/>
        <v>1.0197011247685044</v>
      </c>
      <c r="O12" s="8"/>
      <c r="P12" s="8"/>
      <c r="Q12" s="8"/>
      <c r="R12" s="8"/>
      <c r="S12" s="8"/>
    </row>
    <row r="13" spans="1:19" s="5" customFormat="1" ht="24.6" customHeight="1" x14ac:dyDescent="0.3">
      <c r="A13" s="6"/>
      <c r="E13" s="5">
        <v>11</v>
      </c>
      <c r="F13" s="5">
        <f t="shared" si="1"/>
        <v>11</v>
      </c>
      <c r="G13" s="8">
        <f t="shared" si="7"/>
        <v>0.55420506255567492</v>
      </c>
      <c r="H13" s="8">
        <f t="shared" si="3"/>
        <v>490.93078904489556</v>
      </c>
      <c r="I13" s="8">
        <f t="shared" si="9"/>
        <v>0</v>
      </c>
      <c r="J13" s="8">
        <f t="shared" si="4"/>
        <v>1000</v>
      </c>
      <c r="K13" s="8">
        <f t="shared" si="5"/>
        <v>2.0369470041703783</v>
      </c>
      <c r="L13" s="8">
        <f t="shared" si="8"/>
        <v>50</v>
      </c>
      <c r="M13" s="8">
        <f t="shared" si="6"/>
        <v>101.84735020851892</v>
      </c>
      <c r="N13" s="8">
        <f t="shared" si="0"/>
        <v>1.0184735020851892</v>
      </c>
      <c r="O13" s="8"/>
      <c r="P13" s="8"/>
      <c r="Q13" s="8"/>
      <c r="R13" s="8"/>
      <c r="S13" s="8"/>
    </row>
    <row r="14" spans="1:19" s="5" customFormat="1" ht="13.2" x14ac:dyDescent="0.3">
      <c r="E14" s="5">
        <v>12</v>
      </c>
      <c r="F14" s="5">
        <f t="shared" si="1"/>
        <v>12</v>
      </c>
      <c r="G14" s="8">
        <f t="shared" si="7"/>
        <v>30.130564433071534</v>
      </c>
      <c r="H14" s="8">
        <f t="shared" si="3"/>
        <v>491.48499410745126</v>
      </c>
      <c r="I14" s="8">
        <f t="shared" si="9"/>
        <v>0</v>
      </c>
      <c r="J14" s="8">
        <f t="shared" si="4"/>
        <v>1600</v>
      </c>
      <c r="K14" s="8">
        <f t="shared" si="5"/>
        <v>3</v>
      </c>
      <c r="L14" s="8">
        <f t="shared" si="8"/>
        <v>54.257336411855228</v>
      </c>
      <c r="M14" s="8">
        <f t="shared" si="6"/>
        <v>162.77200923556569</v>
      </c>
      <c r="N14" s="8">
        <f t="shared" si="0"/>
        <v>1.627720092355657</v>
      </c>
      <c r="O14" s="8"/>
      <c r="P14" s="8"/>
      <c r="Q14" s="8"/>
      <c r="R14" s="8"/>
      <c r="S14" s="8"/>
    </row>
    <row r="15" spans="1:19" s="5" customFormat="1" ht="13.2" x14ac:dyDescent="0.3">
      <c r="E15" s="5">
        <v>13</v>
      </c>
      <c r="F15" s="5">
        <f t="shared" si="1"/>
        <v>13</v>
      </c>
      <c r="G15" s="8">
        <f t="shared" si="7"/>
        <v>0</v>
      </c>
      <c r="H15" s="8">
        <f t="shared" si="3"/>
        <v>521.61555854052278</v>
      </c>
      <c r="I15" s="8">
        <f t="shared" si="9"/>
        <v>0.86462234162091045</v>
      </c>
      <c r="J15" s="8">
        <f t="shared" si="4"/>
        <v>1000</v>
      </c>
      <c r="K15" s="8">
        <f t="shared" si="5"/>
        <v>1.9171207292934169</v>
      </c>
      <c r="L15" s="8">
        <f t="shared" si="8"/>
        <v>50</v>
      </c>
      <c r="M15" s="8">
        <f t="shared" si="6"/>
        <v>95.856036464670851</v>
      </c>
      <c r="N15" s="8">
        <f t="shared" si="0"/>
        <v>0.95856036464670846</v>
      </c>
      <c r="O15" s="8"/>
      <c r="P15" s="8"/>
      <c r="Q15" s="8"/>
      <c r="R15" s="8"/>
      <c r="S15" s="8"/>
    </row>
    <row r="16" spans="1:19" s="5" customFormat="1" ht="13.2" x14ac:dyDescent="0.3">
      <c r="E16" s="5">
        <v>14</v>
      </c>
      <c r="F16" s="5">
        <f t="shared" si="1"/>
        <v>14</v>
      </c>
      <c r="G16" s="8">
        <f t="shared" si="7"/>
        <v>0</v>
      </c>
      <c r="H16" s="8">
        <f t="shared" si="3"/>
        <v>520.75093619890185</v>
      </c>
      <c r="I16" s="8">
        <f t="shared" si="9"/>
        <v>12.830037447956075</v>
      </c>
      <c r="J16" s="8">
        <f t="shared" si="4"/>
        <v>400</v>
      </c>
      <c r="K16" s="8">
        <f t="shared" si="5"/>
        <v>0.76812151874311596</v>
      </c>
      <c r="L16" s="8">
        <f t="shared" si="8"/>
        <v>50</v>
      </c>
      <c r="M16" s="8">
        <f t="shared" si="6"/>
        <v>38.406075937155798</v>
      </c>
      <c r="N16" s="8">
        <f t="shared" si="0"/>
        <v>0.38406075937155798</v>
      </c>
      <c r="O16" s="8"/>
      <c r="P16" s="8"/>
      <c r="Q16" s="8"/>
      <c r="R16" s="8"/>
      <c r="S16" s="8"/>
    </row>
    <row r="17" spans="1:19" s="5" customFormat="1" ht="13.2" x14ac:dyDescent="0.3">
      <c r="A17" s="6"/>
      <c r="E17" s="5">
        <v>15</v>
      </c>
      <c r="F17" s="5">
        <f t="shared" si="1"/>
        <v>15</v>
      </c>
      <c r="G17" s="8">
        <f t="shared" si="7"/>
        <v>27.602323303552591</v>
      </c>
      <c r="H17" s="8">
        <f t="shared" si="3"/>
        <v>507.92089875094575</v>
      </c>
      <c r="I17" s="8">
        <f t="shared" si="9"/>
        <v>0</v>
      </c>
      <c r="J17" s="8">
        <f t="shared" si="4"/>
        <v>1600</v>
      </c>
      <c r="K17" s="8">
        <f t="shared" si="5"/>
        <v>3</v>
      </c>
      <c r="L17" s="8">
        <f t="shared" si="8"/>
        <v>52.501613405244854</v>
      </c>
      <c r="M17" s="8">
        <f t="shared" si="6"/>
        <v>157.50484021573456</v>
      </c>
      <c r="N17" s="8">
        <f t="shared" si="0"/>
        <v>1.5750484021573457</v>
      </c>
      <c r="O17" s="8"/>
      <c r="P17" s="8"/>
      <c r="Q17" s="8"/>
      <c r="R17" s="8"/>
      <c r="S17" s="8"/>
    </row>
    <row r="18" spans="1:19" s="5" customFormat="1" ht="13.2" x14ac:dyDescent="0.3">
      <c r="A18" s="6"/>
      <c r="E18" s="5">
        <v>16</v>
      </c>
      <c r="F18" s="5">
        <f t="shared" si="1"/>
        <v>16</v>
      </c>
      <c r="G18" s="8">
        <f t="shared" si="7"/>
        <v>0</v>
      </c>
      <c r="H18" s="8">
        <f t="shared" si="3"/>
        <v>535.52322205449832</v>
      </c>
      <c r="I18" s="8">
        <f t="shared" si="9"/>
        <v>1.4209288821799317</v>
      </c>
      <c r="J18" s="8">
        <f t="shared" si="4"/>
        <v>1000</v>
      </c>
      <c r="K18" s="8">
        <f t="shared" si="5"/>
        <v>1.8673326549006937</v>
      </c>
      <c r="L18" s="8">
        <f t="shared" si="8"/>
        <v>50</v>
      </c>
      <c r="M18" s="8">
        <f t="shared" si="6"/>
        <v>93.366632745034678</v>
      </c>
      <c r="N18" s="8">
        <f t="shared" si="0"/>
        <v>0.93366632745034683</v>
      </c>
      <c r="O18" s="8"/>
      <c r="P18" s="8"/>
      <c r="Q18" s="8"/>
      <c r="R18" s="8"/>
      <c r="S18" s="8"/>
    </row>
    <row r="19" spans="1:19" s="5" customFormat="1" ht="13.2" x14ac:dyDescent="0.3">
      <c r="A19" s="6"/>
      <c r="E19" s="5">
        <v>17</v>
      </c>
      <c r="F19" s="5">
        <f t="shared" si="1"/>
        <v>17</v>
      </c>
      <c r="G19" s="8">
        <f t="shared" si="7"/>
        <v>0</v>
      </c>
      <c r="H19" s="8">
        <f t="shared" si="3"/>
        <v>534.10229317231835</v>
      </c>
      <c r="I19" s="8">
        <f t="shared" si="9"/>
        <v>1.3640917268927348</v>
      </c>
      <c r="J19" s="8">
        <f t="shared" si="4"/>
        <v>1000</v>
      </c>
      <c r="K19" s="8">
        <f t="shared" si="5"/>
        <v>1.8723005176788639</v>
      </c>
      <c r="L19" s="8">
        <f t="shared" si="8"/>
        <v>50</v>
      </c>
      <c r="M19" s="8">
        <f t="shared" si="6"/>
        <v>93.61502588394319</v>
      </c>
      <c r="N19" s="8">
        <f t="shared" si="0"/>
        <v>0.93615025883943193</v>
      </c>
      <c r="O19" s="8"/>
      <c r="P19" s="8"/>
      <c r="Q19" s="8"/>
      <c r="R19" s="8"/>
      <c r="S19" s="8"/>
    </row>
    <row r="20" spans="1:19" s="5" customFormat="1" ht="13.2" x14ac:dyDescent="0.3">
      <c r="A20" s="6"/>
      <c r="E20" s="5">
        <v>18</v>
      </c>
      <c r="F20" s="5">
        <f t="shared" si="1"/>
        <v>18</v>
      </c>
      <c r="G20" s="8">
        <f t="shared" si="7"/>
        <v>24.080432557329466</v>
      </c>
      <c r="H20" s="8">
        <f t="shared" si="3"/>
        <v>532.7382014454256</v>
      </c>
      <c r="I20" s="8">
        <f t="shared" si="9"/>
        <v>0</v>
      </c>
      <c r="J20" s="8">
        <f t="shared" si="4"/>
        <v>1600</v>
      </c>
      <c r="K20" s="8">
        <f t="shared" si="5"/>
        <v>3</v>
      </c>
      <c r="L20" s="8">
        <f t="shared" si="8"/>
        <v>50.055855942589908</v>
      </c>
      <c r="M20" s="8">
        <f t="shared" si="6"/>
        <v>150.16756782776972</v>
      </c>
      <c r="N20" s="8">
        <f t="shared" si="0"/>
        <v>1.5016756782776972</v>
      </c>
      <c r="O20" s="8"/>
      <c r="P20" s="8"/>
      <c r="Q20" s="8"/>
      <c r="R20" s="8"/>
      <c r="S20" s="8"/>
    </row>
    <row r="21" spans="1:19" s="5" customFormat="1" ht="13.2" x14ac:dyDescent="0.3">
      <c r="A21" s="6"/>
      <c r="E21" s="5">
        <v>19</v>
      </c>
      <c r="F21" s="5">
        <f t="shared" si="1"/>
        <v>19</v>
      </c>
      <c r="G21" s="8">
        <f t="shared" si="7"/>
        <v>0</v>
      </c>
      <c r="H21" s="8">
        <f t="shared" si="3"/>
        <v>556.81863400275506</v>
      </c>
      <c r="I21" s="8">
        <f t="shared" si="9"/>
        <v>2.2727453601102048</v>
      </c>
      <c r="J21" s="8">
        <f t="shared" si="4"/>
        <v>1000</v>
      </c>
      <c r="K21" s="8">
        <f t="shared" si="5"/>
        <v>1.7959169089069174</v>
      </c>
      <c r="L21" s="8">
        <f t="shared" si="8"/>
        <v>50</v>
      </c>
      <c r="M21" s="8">
        <f t="shared" si="6"/>
        <v>89.795845445345861</v>
      </c>
      <c r="N21" s="8">
        <f t="shared" si="0"/>
        <v>0.89795845445345857</v>
      </c>
      <c r="O21" s="8"/>
      <c r="P21" s="8"/>
      <c r="Q21" s="8"/>
      <c r="R21" s="8"/>
      <c r="S21" s="8"/>
    </row>
    <row r="22" spans="1:19" s="5" customFormat="1" ht="13.2" x14ac:dyDescent="0.3">
      <c r="A22" s="6"/>
      <c r="E22" s="5">
        <v>20</v>
      </c>
      <c r="F22" s="5">
        <f t="shared" si="1"/>
        <v>20</v>
      </c>
      <c r="G22" s="8">
        <f t="shared" si="7"/>
        <v>0</v>
      </c>
      <c r="H22" s="8">
        <f t="shared" si="3"/>
        <v>554.54588864264485</v>
      </c>
      <c r="I22" s="8">
        <f t="shared" si="9"/>
        <v>2.181835545705797</v>
      </c>
      <c r="J22" s="8">
        <f t="shared" si="4"/>
        <v>1000</v>
      </c>
      <c r="K22" s="8">
        <f t="shared" si="5"/>
        <v>1.8032772769223619</v>
      </c>
      <c r="L22" s="8">
        <f t="shared" si="8"/>
        <v>50</v>
      </c>
      <c r="M22" s="8">
        <f t="shared" si="6"/>
        <v>90.16386384611809</v>
      </c>
      <c r="N22" s="8">
        <f t="shared" si="0"/>
        <v>0.90163863846118086</v>
      </c>
      <c r="O22" s="8"/>
      <c r="P22" s="8"/>
      <c r="Q22" s="8"/>
      <c r="R22" s="8"/>
      <c r="S22" s="8"/>
    </row>
    <row r="23" spans="1:19" s="5" customFormat="1" ht="13.2" x14ac:dyDescent="0.3">
      <c r="A23" s="6"/>
      <c r="E23" s="5">
        <v>21</v>
      </c>
      <c r="F23" s="5">
        <f t="shared" si="1"/>
        <v>21</v>
      </c>
      <c r="G23" s="8">
        <f t="shared" si="7"/>
        <v>21.519368222285202</v>
      </c>
      <c r="H23" s="8">
        <f t="shared" si="3"/>
        <v>552.36405309693907</v>
      </c>
      <c r="I23" s="8">
        <f t="shared" si="9"/>
        <v>0</v>
      </c>
      <c r="J23" s="8">
        <f t="shared" si="4"/>
        <v>1600</v>
      </c>
      <c r="K23" s="8">
        <f t="shared" si="5"/>
        <v>2.8966403425952167</v>
      </c>
      <c r="L23" s="8">
        <f t="shared" si="8"/>
        <v>50</v>
      </c>
      <c r="M23" s="8">
        <f t="shared" si="6"/>
        <v>144.83201712976083</v>
      </c>
      <c r="N23" s="8">
        <f t="shared" si="0"/>
        <v>1.4483201712976084</v>
      </c>
      <c r="O23" s="8"/>
      <c r="P23" s="8"/>
      <c r="Q23" s="8"/>
      <c r="R23" s="8"/>
      <c r="S23" s="8"/>
    </row>
    <row r="24" spans="1:19" s="5" customFormat="1" ht="13.2" x14ac:dyDescent="0.3">
      <c r="A24" s="6"/>
      <c r="E24" s="5">
        <v>22</v>
      </c>
      <c r="F24" s="5">
        <f t="shared" si="1"/>
        <v>22</v>
      </c>
      <c r="G24" s="8">
        <f t="shared" si="7"/>
        <v>0</v>
      </c>
      <c r="H24" s="8">
        <f t="shared" si="3"/>
        <v>573.88342131922423</v>
      </c>
      <c r="I24" s="8">
        <f t="shared" si="9"/>
        <v>2.9553368527689683</v>
      </c>
      <c r="J24" s="8">
        <f t="shared" si="4"/>
        <v>1000</v>
      </c>
      <c r="K24" s="8">
        <f t="shared" si="5"/>
        <v>1.7425141811924678</v>
      </c>
      <c r="L24" s="8">
        <f t="shared" si="8"/>
        <v>50</v>
      </c>
      <c r="M24" s="8">
        <f t="shared" si="6"/>
        <v>87.125709059623389</v>
      </c>
      <c r="N24" s="8">
        <f t="shared" si="0"/>
        <v>0.87125709059623391</v>
      </c>
      <c r="O24" s="8"/>
      <c r="P24" s="8"/>
      <c r="Q24" s="8"/>
      <c r="R24" s="8"/>
      <c r="S24" s="8"/>
    </row>
    <row r="25" spans="1:19" s="5" customFormat="1" ht="13.2" x14ac:dyDescent="0.3">
      <c r="A25" s="6"/>
      <c r="E25" s="5">
        <v>23</v>
      </c>
      <c r="F25" s="5">
        <f t="shared" si="1"/>
        <v>23</v>
      </c>
      <c r="G25" s="8">
        <f t="shared" si="7"/>
        <v>0</v>
      </c>
      <c r="H25" s="8">
        <f t="shared" si="3"/>
        <v>570.92808446645529</v>
      </c>
      <c r="I25" s="8">
        <f t="shared" si="9"/>
        <v>2.8371233786582115</v>
      </c>
      <c r="J25" s="8">
        <f t="shared" si="4"/>
        <v>1000</v>
      </c>
      <c r="K25" s="8">
        <f t="shared" si="5"/>
        <v>1.7515340849531369</v>
      </c>
      <c r="L25" s="8">
        <f t="shared" si="8"/>
        <v>50</v>
      </c>
      <c r="M25" s="8">
        <f t="shared" si="6"/>
        <v>87.576704247656849</v>
      </c>
      <c r="N25" s="8">
        <f t="shared" si="0"/>
        <v>0.87576704247656845</v>
      </c>
      <c r="O25" s="8"/>
      <c r="P25" s="8"/>
      <c r="Q25" s="8"/>
      <c r="R25" s="8"/>
      <c r="S25" s="8"/>
    </row>
    <row r="26" spans="1:19" s="5" customFormat="1" ht="13.2" x14ac:dyDescent="0.3">
      <c r="A26" s="6"/>
      <c r="E26" s="5">
        <v>24</v>
      </c>
      <c r="F26" s="5">
        <f t="shared" si="1"/>
        <v>24</v>
      </c>
      <c r="G26" s="8">
        <f t="shared" si="7"/>
        <v>19.59480898353068</v>
      </c>
      <c r="H26" s="8">
        <f t="shared" si="3"/>
        <v>568.09096108779704</v>
      </c>
      <c r="I26" s="8">
        <f t="shared" si="9"/>
        <v>0</v>
      </c>
      <c r="J26" s="8">
        <f t="shared" si="4"/>
        <v>1600</v>
      </c>
      <c r="K26" s="8">
        <f t="shared" si="5"/>
        <v>2.8164503743137783</v>
      </c>
      <c r="L26" s="8">
        <f t="shared" si="8"/>
        <v>50</v>
      </c>
      <c r="M26" s="8">
        <f t="shared" si="6"/>
        <v>140.82251871568891</v>
      </c>
      <c r="N26" s="8">
        <f t="shared" si="0"/>
        <v>1.4082251871568892</v>
      </c>
      <c r="O26" s="8"/>
      <c r="P26" s="8"/>
      <c r="Q26" s="8"/>
      <c r="R26" s="8"/>
      <c r="S26" s="8"/>
    </row>
    <row r="27" spans="1:19" s="5" customFormat="1" ht="13.2" x14ac:dyDescent="0.3">
      <c r="A27" s="6"/>
      <c r="E27" s="5">
        <v>25</v>
      </c>
      <c r="F27" s="5">
        <f t="shared" si="1"/>
        <v>25</v>
      </c>
      <c r="G27" s="8">
        <f t="shared" si="7"/>
        <v>0</v>
      </c>
      <c r="H27" s="8">
        <f t="shared" si="3"/>
        <v>587.68577007132774</v>
      </c>
      <c r="I27" s="8">
        <f t="shared" si="9"/>
        <v>3.5074308028531096</v>
      </c>
      <c r="J27" s="8">
        <f t="shared" si="4"/>
        <v>1000</v>
      </c>
      <c r="K27" s="8">
        <f t="shared" si="5"/>
        <v>1.7015896094925516</v>
      </c>
      <c r="L27" s="8">
        <f t="shared" si="8"/>
        <v>50</v>
      </c>
      <c r="M27" s="8">
        <f t="shared" si="6"/>
        <v>85.079480474627573</v>
      </c>
      <c r="N27" s="8">
        <f t="shared" si="0"/>
        <v>0.85079480474627578</v>
      </c>
      <c r="O27" s="8"/>
      <c r="P27" s="8"/>
      <c r="Q27" s="8"/>
      <c r="R27" s="8"/>
      <c r="S27" s="8"/>
    </row>
    <row r="28" spans="1:19" s="5" customFormat="1" ht="13.2" x14ac:dyDescent="0.3">
      <c r="A28" s="6"/>
      <c r="E28" s="5">
        <v>26</v>
      </c>
      <c r="F28" s="5">
        <f t="shared" si="1"/>
        <v>26</v>
      </c>
      <c r="G28" s="8">
        <f t="shared" si="7"/>
        <v>0</v>
      </c>
      <c r="H28" s="8">
        <f t="shared" si="3"/>
        <v>584.17833926847459</v>
      </c>
      <c r="I28" s="8">
        <f t="shared" si="9"/>
        <v>3.3671335707389831</v>
      </c>
      <c r="J28" s="8">
        <f t="shared" si="4"/>
        <v>1000</v>
      </c>
      <c r="K28" s="8">
        <f t="shared" si="5"/>
        <v>1.7118060235718935</v>
      </c>
      <c r="L28" s="8">
        <f t="shared" si="8"/>
        <v>50</v>
      </c>
      <c r="M28" s="8">
        <f t="shared" si="6"/>
        <v>85.590301178594672</v>
      </c>
      <c r="N28" s="8">
        <f t="shared" si="0"/>
        <v>0.85590301178594674</v>
      </c>
      <c r="O28" s="8"/>
      <c r="P28" s="8"/>
      <c r="Q28" s="8"/>
      <c r="R28" s="8"/>
      <c r="S28" s="8"/>
    </row>
    <row r="29" spans="1:19" s="5" customFormat="1" ht="13.2" x14ac:dyDescent="0.3">
      <c r="A29" s="6"/>
      <c r="E29" s="5">
        <v>27</v>
      </c>
      <c r="F29" s="5">
        <f t="shared" si="1"/>
        <v>27</v>
      </c>
      <c r="G29" s="8">
        <f t="shared" si="7"/>
        <v>18.114426896894326</v>
      </c>
      <c r="H29" s="8">
        <f t="shared" si="3"/>
        <v>580.81120569773566</v>
      </c>
      <c r="I29" s="8">
        <f t="shared" si="9"/>
        <v>0</v>
      </c>
      <c r="J29" s="8">
        <f t="shared" si="4"/>
        <v>1600</v>
      </c>
      <c r="K29" s="8">
        <f t="shared" si="5"/>
        <v>2.7547677873705969</v>
      </c>
      <c r="L29" s="8">
        <f t="shared" si="8"/>
        <v>50</v>
      </c>
      <c r="M29" s="8">
        <f t="shared" si="6"/>
        <v>137.73838936852985</v>
      </c>
      <c r="N29" s="8">
        <f t="shared" si="0"/>
        <v>1.3773838936852985</v>
      </c>
      <c r="O29" s="8"/>
      <c r="P29" s="8"/>
      <c r="Q29" s="8"/>
      <c r="R29" s="8"/>
      <c r="S29" s="8"/>
    </row>
    <row r="30" spans="1:19" s="5" customFormat="1" ht="13.2" x14ac:dyDescent="0.3">
      <c r="A30" s="6"/>
      <c r="E30" s="5">
        <v>28</v>
      </c>
      <c r="F30" s="5">
        <f t="shared" si="1"/>
        <v>28</v>
      </c>
      <c r="G30" s="8">
        <f t="shared" si="7"/>
        <v>0</v>
      </c>
      <c r="H30" s="8">
        <f t="shared" si="3"/>
        <v>598.92563259462997</v>
      </c>
      <c r="I30" s="8">
        <f t="shared" si="9"/>
        <v>15.957025303785201</v>
      </c>
      <c r="J30" s="8">
        <f t="shared" si="4"/>
        <v>400</v>
      </c>
      <c r="K30" s="8">
        <f t="shared" si="5"/>
        <v>0.66786254959091296</v>
      </c>
      <c r="L30" s="8">
        <f t="shared" si="8"/>
        <v>50</v>
      </c>
      <c r="M30" s="8">
        <f t="shared" si="6"/>
        <v>33.393127479545647</v>
      </c>
      <c r="N30" s="8">
        <f t="shared" si="0"/>
        <v>0.33393127479545648</v>
      </c>
      <c r="O30" s="8"/>
      <c r="P30" s="8"/>
      <c r="Q30" s="8"/>
      <c r="R30" s="8"/>
      <c r="S30" s="8"/>
    </row>
    <row r="31" spans="1:19" s="5" customFormat="1" ht="13.2" x14ac:dyDescent="0.3">
      <c r="A31" s="6"/>
      <c r="E31" s="5">
        <v>29</v>
      </c>
      <c r="F31" s="5">
        <f t="shared" si="1"/>
        <v>29</v>
      </c>
      <c r="G31" s="8">
        <f t="shared" si="7"/>
        <v>0</v>
      </c>
      <c r="H31" s="8">
        <f t="shared" si="3"/>
        <v>582.96860729084483</v>
      </c>
      <c r="I31" s="8">
        <f t="shared" si="9"/>
        <v>3.3187442916337924</v>
      </c>
      <c r="J31" s="8">
        <f t="shared" si="4"/>
        <v>1000</v>
      </c>
      <c r="K31" s="8">
        <f t="shared" si="5"/>
        <v>1.7153582328337913</v>
      </c>
      <c r="L31" s="8">
        <f t="shared" si="8"/>
        <v>50</v>
      </c>
      <c r="M31" s="8">
        <f t="shared" si="6"/>
        <v>85.767911641689565</v>
      </c>
      <c r="N31" s="8">
        <f t="shared" si="0"/>
        <v>0.85767911641689565</v>
      </c>
      <c r="O31" s="8"/>
      <c r="P31" s="8"/>
      <c r="Q31" s="8"/>
      <c r="R31" s="8"/>
      <c r="S31" s="8"/>
    </row>
    <row r="32" spans="1:19" s="5" customFormat="1" ht="13.2" x14ac:dyDescent="0.3">
      <c r="A32" s="6"/>
      <c r="E32" s="5">
        <v>30</v>
      </c>
      <c r="F32" s="5">
        <f t="shared" si="1"/>
        <v>30</v>
      </c>
      <c r="G32" s="8">
        <f t="shared" si="7"/>
        <v>18.246888770596108</v>
      </c>
      <c r="H32" s="8">
        <f t="shared" si="3"/>
        <v>579.649862999211</v>
      </c>
      <c r="I32" s="8">
        <f t="shared" si="9"/>
        <v>0</v>
      </c>
      <c r="J32" s="8">
        <f t="shared" si="4"/>
        <v>1600</v>
      </c>
      <c r="K32" s="8">
        <f t="shared" si="5"/>
        <v>2.7602870321081707</v>
      </c>
      <c r="L32" s="8">
        <f t="shared" si="8"/>
        <v>50.000000000000014</v>
      </c>
      <c r="M32" s="8">
        <f t="shared" si="6"/>
        <v>138.01435160540856</v>
      </c>
      <c r="N32" s="8">
        <f t="shared" si="0"/>
        <v>1.3801435160540856</v>
      </c>
      <c r="O32" s="8"/>
      <c r="P32" s="8"/>
      <c r="Q32" s="8"/>
      <c r="R32" s="8"/>
      <c r="S32" s="8"/>
    </row>
    <row r="33" spans="1:19" s="5" customFormat="1" ht="13.2" x14ac:dyDescent="0.3">
      <c r="A33" s="6"/>
      <c r="E33" s="5">
        <v>31</v>
      </c>
      <c r="F33" s="5">
        <f t="shared" si="1"/>
        <v>31</v>
      </c>
      <c r="G33" s="8">
        <f t="shared" si="7"/>
        <v>0</v>
      </c>
      <c r="H33" s="8">
        <f t="shared" si="3"/>
        <v>597.89675176980711</v>
      </c>
      <c r="I33" s="8">
        <f t="shared" si="9"/>
        <v>3.9158700707922822</v>
      </c>
      <c r="J33" s="8">
        <f t="shared" si="4"/>
        <v>1000</v>
      </c>
      <c r="K33" s="8">
        <f t="shared" si="5"/>
        <v>1.6725295747801694</v>
      </c>
      <c r="L33" s="8">
        <f t="shared" si="8"/>
        <v>50</v>
      </c>
      <c r="M33" s="8">
        <f t="shared" si="6"/>
        <v>83.626478739008476</v>
      </c>
      <c r="N33" s="8">
        <f t="shared" si="0"/>
        <v>0.83626478739008481</v>
      </c>
      <c r="O33" s="8"/>
      <c r="P33" s="8"/>
      <c r="Q33" s="8"/>
      <c r="R33" s="8"/>
      <c r="S33" s="8"/>
    </row>
    <row r="34" spans="1:19" s="5" customFormat="1" ht="13.2" x14ac:dyDescent="0.3">
      <c r="A34" s="6"/>
      <c r="E34" s="5">
        <v>32</v>
      </c>
      <c r="F34" s="5">
        <f t="shared" si="1"/>
        <v>32</v>
      </c>
      <c r="G34" s="8">
        <f t="shared" si="7"/>
        <v>0</v>
      </c>
      <c r="H34" s="8">
        <f t="shared" si="3"/>
        <v>593.98088169901484</v>
      </c>
      <c r="I34" s="8">
        <f t="shared" si="9"/>
        <v>3.7592352679605976</v>
      </c>
      <c r="J34" s="8">
        <f t="shared" si="4"/>
        <v>1000</v>
      </c>
      <c r="K34" s="8">
        <f t="shared" si="5"/>
        <v>1.6835558699121991</v>
      </c>
      <c r="L34" s="8">
        <f t="shared" si="8"/>
        <v>50</v>
      </c>
      <c r="M34" s="8">
        <f t="shared" si="6"/>
        <v>84.177793495609947</v>
      </c>
      <c r="N34" s="8">
        <f t="shared" si="0"/>
        <v>0.84177793495609943</v>
      </c>
      <c r="O34" s="8"/>
      <c r="P34" s="8"/>
      <c r="Q34" s="8"/>
      <c r="R34" s="8"/>
      <c r="S34" s="8"/>
    </row>
    <row r="35" spans="1:19" s="5" customFormat="1" ht="13.2" x14ac:dyDescent="0.3">
      <c r="A35" s="6"/>
      <c r="E35" s="5">
        <v>33</v>
      </c>
      <c r="F35" s="5">
        <f t="shared" si="1"/>
        <v>33</v>
      </c>
      <c r="G35" s="8">
        <f t="shared" si="7"/>
        <v>17.060304433422079</v>
      </c>
      <c r="H35" s="8">
        <f t="shared" si="3"/>
        <v>590.2216464310543</v>
      </c>
      <c r="I35" s="8">
        <f t="shared" si="9"/>
        <v>0</v>
      </c>
      <c r="J35" s="8">
        <f t="shared" si="4"/>
        <v>1600</v>
      </c>
      <c r="K35" s="8">
        <f t="shared" si="5"/>
        <v>2.7108460180592533</v>
      </c>
      <c r="L35" s="8">
        <f t="shared" si="8"/>
        <v>50</v>
      </c>
      <c r="M35" s="8">
        <f t="shared" si="6"/>
        <v>135.54230090296267</v>
      </c>
      <c r="N35" s="8">
        <f t="shared" si="0"/>
        <v>1.3554230090296266</v>
      </c>
      <c r="O35" s="8"/>
      <c r="P35" s="8"/>
      <c r="Q35" s="8"/>
      <c r="R35" s="8"/>
      <c r="S35" s="8"/>
    </row>
    <row r="36" spans="1:19" s="5" customFormat="1" ht="13.2" x14ac:dyDescent="0.3">
      <c r="A36" s="6"/>
      <c r="E36" s="5">
        <v>34</v>
      </c>
      <c r="F36" s="5">
        <f t="shared" si="1"/>
        <v>34</v>
      </c>
      <c r="G36" s="8">
        <f t="shared" si="7"/>
        <v>0</v>
      </c>
      <c r="H36" s="8">
        <f t="shared" si="3"/>
        <v>607.28195086447636</v>
      </c>
      <c r="I36" s="8">
        <f t="shared" si="9"/>
        <v>4.2912780345790571</v>
      </c>
      <c r="J36" s="8">
        <f t="shared" si="4"/>
        <v>1000</v>
      </c>
      <c r="K36" s="8">
        <f t="shared" si="5"/>
        <v>1.6466815761220677</v>
      </c>
      <c r="L36" s="8">
        <f t="shared" si="8"/>
        <v>50</v>
      </c>
      <c r="M36" s="8">
        <f t="shared" si="6"/>
        <v>82.334078806103378</v>
      </c>
      <c r="N36" s="8">
        <f t="shared" si="0"/>
        <v>0.82334078806103372</v>
      </c>
      <c r="O36" s="8"/>
      <c r="P36" s="8"/>
      <c r="Q36" s="8"/>
      <c r="R36" s="8"/>
      <c r="S36" s="8"/>
    </row>
    <row r="37" spans="1:19" s="5" customFormat="1" ht="13.2" x14ac:dyDescent="0.3">
      <c r="A37" s="6"/>
      <c r="E37" s="5">
        <v>35</v>
      </c>
      <c r="F37" s="5">
        <f t="shared" si="1"/>
        <v>35</v>
      </c>
      <c r="G37" s="8">
        <f t="shared" si="7"/>
        <v>0</v>
      </c>
      <c r="H37" s="8">
        <f t="shared" si="3"/>
        <v>602.99067282989733</v>
      </c>
      <c r="I37" s="8">
        <f t="shared" si="9"/>
        <v>16.119626913195894</v>
      </c>
      <c r="J37" s="8">
        <f t="shared" si="4"/>
        <v>400</v>
      </c>
      <c r="K37" s="8">
        <f t="shared" si="5"/>
        <v>0.66336017789920165</v>
      </c>
      <c r="L37" s="8">
        <f t="shared" si="8"/>
        <v>50</v>
      </c>
      <c r="M37" s="8">
        <f t="shared" si="6"/>
        <v>33.168008894960082</v>
      </c>
      <c r="N37" s="8">
        <f t="shared" si="0"/>
        <v>0.33168008894960083</v>
      </c>
      <c r="O37" s="8"/>
      <c r="P37" s="8"/>
      <c r="Q37" s="8"/>
      <c r="R37" s="8"/>
      <c r="S37" s="8"/>
    </row>
    <row r="38" spans="1:19" s="5" customFormat="1" ht="13.2" x14ac:dyDescent="0.3">
      <c r="A38" s="6"/>
      <c r="E38" s="5">
        <v>36</v>
      </c>
      <c r="F38" s="5">
        <f t="shared" si="1"/>
        <v>36</v>
      </c>
      <c r="G38" s="8">
        <f t="shared" si="7"/>
        <v>17.43175075202188</v>
      </c>
      <c r="H38" s="8">
        <f t="shared" si="3"/>
        <v>586.87104591670141</v>
      </c>
      <c r="I38" s="8">
        <f t="shared" si="9"/>
        <v>0</v>
      </c>
      <c r="J38" s="8">
        <f t="shared" si="4"/>
        <v>1600</v>
      </c>
      <c r="K38" s="8">
        <f t="shared" si="5"/>
        <v>2.7263229480009121</v>
      </c>
      <c r="L38" s="8">
        <f t="shared" si="8"/>
        <v>50</v>
      </c>
      <c r="M38" s="8">
        <f t="shared" si="6"/>
        <v>136.31614740004559</v>
      </c>
      <c r="N38" s="8">
        <f t="shared" si="0"/>
        <v>1.3631614740004558</v>
      </c>
      <c r="O38" s="8"/>
      <c r="P38" s="8"/>
      <c r="Q38" s="8"/>
      <c r="R38" s="8"/>
      <c r="S38" s="8"/>
    </row>
    <row r="39" spans="1:19" s="5" customFormat="1" ht="13.2" x14ac:dyDescent="0.3">
      <c r="A39" s="6"/>
      <c r="E39" s="5">
        <v>37</v>
      </c>
      <c r="F39" s="5">
        <f t="shared" si="1"/>
        <v>37</v>
      </c>
      <c r="G39" s="8">
        <f t="shared" si="7"/>
        <v>0</v>
      </c>
      <c r="H39" s="8">
        <f t="shared" si="3"/>
        <v>604.30279666872332</v>
      </c>
      <c r="I39" s="8">
        <f t="shared" si="9"/>
        <v>4.172111866748935</v>
      </c>
      <c r="J39" s="8">
        <f t="shared" si="4"/>
        <v>1000</v>
      </c>
      <c r="K39" s="8">
        <f t="shared" si="5"/>
        <v>1.6547995566338518</v>
      </c>
      <c r="L39" s="8">
        <f t="shared" si="8"/>
        <v>50</v>
      </c>
      <c r="M39" s="8">
        <f t="shared" si="6"/>
        <v>82.739977831692585</v>
      </c>
      <c r="N39" s="8">
        <f t="shared" si="0"/>
        <v>0.82739977831692579</v>
      </c>
      <c r="O39" s="8"/>
      <c r="P39" s="8"/>
      <c r="Q39" s="8"/>
      <c r="R39" s="8"/>
      <c r="S39" s="8"/>
    </row>
    <row r="40" spans="1:19" s="5" customFormat="1" ht="13.2" x14ac:dyDescent="0.3">
      <c r="A40" s="6"/>
      <c r="E40" s="5">
        <v>38</v>
      </c>
      <c r="F40" s="5">
        <f t="shared" si="1"/>
        <v>38</v>
      </c>
      <c r="G40" s="8">
        <f t="shared" si="7"/>
        <v>0</v>
      </c>
      <c r="H40" s="8">
        <f t="shared" si="3"/>
        <v>600.13068480197444</v>
      </c>
      <c r="I40" s="8">
        <f t="shared" si="9"/>
        <v>4.0052273920789752</v>
      </c>
      <c r="J40" s="8">
        <f t="shared" si="4"/>
        <v>1000</v>
      </c>
      <c r="K40" s="8">
        <f t="shared" si="5"/>
        <v>1.6663037323778416</v>
      </c>
      <c r="L40" s="8">
        <f t="shared" si="8"/>
        <v>50</v>
      </c>
      <c r="M40" s="8">
        <f t="shared" si="6"/>
        <v>83.315186618892085</v>
      </c>
      <c r="N40" s="8">
        <f t="shared" si="0"/>
        <v>0.8331518661889209</v>
      </c>
      <c r="O40" s="8"/>
      <c r="P40" s="8"/>
      <c r="Q40" s="8"/>
      <c r="R40" s="8"/>
      <c r="S40" s="8"/>
    </row>
    <row r="41" spans="1:19" s="5" customFormat="1" ht="13.2" x14ac:dyDescent="0.3">
      <c r="A41" s="6"/>
      <c r="E41" s="5">
        <v>39</v>
      </c>
      <c r="F41" s="5">
        <f t="shared" si="1"/>
        <v>39</v>
      </c>
      <c r="G41" s="8">
        <f t="shared" si="7"/>
        <v>16.415970703288025</v>
      </c>
      <c r="H41" s="8">
        <f t="shared" si="3"/>
        <v>596.12545740989549</v>
      </c>
      <c r="I41" s="8">
        <f t="shared" si="9"/>
        <v>0</v>
      </c>
      <c r="J41" s="8">
        <f t="shared" si="4"/>
        <v>1600</v>
      </c>
      <c r="K41" s="8">
        <f t="shared" si="5"/>
        <v>2.6839987793036677</v>
      </c>
      <c r="L41" s="8">
        <f t="shared" si="8"/>
        <v>50</v>
      </c>
      <c r="M41" s="8">
        <f t="shared" si="6"/>
        <v>134.19993896518338</v>
      </c>
      <c r="N41" s="8">
        <f t="shared" si="0"/>
        <v>1.3419993896518339</v>
      </c>
      <c r="O41" s="8"/>
      <c r="P41" s="8"/>
      <c r="Q41" s="8"/>
      <c r="R41" s="8"/>
      <c r="S41" s="8"/>
    </row>
    <row r="42" spans="1:19" s="5" customFormat="1" ht="13.2" x14ac:dyDescent="0.3">
      <c r="A42" s="6"/>
      <c r="E42" s="5">
        <v>40</v>
      </c>
      <c r="F42" s="5">
        <f t="shared" si="1"/>
        <v>40</v>
      </c>
      <c r="G42" s="8">
        <f t="shared" si="7"/>
        <v>0</v>
      </c>
      <c r="H42" s="8">
        <f t="shared" si="3"/>
        <v>612.54142811318354</v>
      </c>
      <c r="I42" s="8">
        <f t="shared" si="9"/>
        <v>4.5016571245273429</v>
      </c>
      <c r="J42" s="8">
        <f t="shared" si="4"/>
        <v>1000</v>
      </c>
      <c r="K42" s="8">
        <f t="shared" si="5"/>
        <v>1.6325426397367249</v>
      </c>
      <c r="L42" s="8">
        <f t="shared" si="8"/>
        <v>50</v>
      </c>
      <c r="M42" s="8">
        <f t="shared" si="6"/>
        <v>81.627131986836247</v>
      </c>
      <c r="N42" s="8">
        <f t="shared" si="0"/>
        <v>0.81627131986836243</v>
      </c>
      <c r="O42" s="8"/>
      <c r="P42" s="8"/>
      <c r="Q42" s="8"/>
      <c r="R42" s="8"/>
      <c r="S42" s="8"/>
    </row>
    <row r="43" spans="1:19" s="5" customFormat="1" ht="13.2" x14ac:dyDescent="0.3">
      <c r="A43" s="6"/>
      <c r="E43" s="5">
        <v>41</v>
      </c>
      <c r="F43" s="5">
        <f t="shared" si="1"/>
        <v>41</v>
      </c>
      <c r="G43" s="8">
        <f t="shared" si="7"/>
        <v>0</v>
      </c>
      <c r="H43" s="8">
        <f t="shared" si="3"/>
        <v>608.03977098865619</v>
      </c>
      <c r="I43" s="8">
        <f t="shared" si="9"/>
        <v>4.321590839546249</v>
      </c>
      <c r="J43" s="8">
        <f t="shared" si="4"/>
        <v>1000</v>
      </c>
      <c r="K43" s="8">
        <f t="shared" si="5"/>
        <v>1.6446292622833325</v>
      </c>
      <c r="L43" s="8">
        <f t="shared" si="8"/>
        <v>49.999999999999993</v>
      </c>
      <c r="M43" s="8">
        <f t="shared" si="6"/>
        <v>82.231463114166615</v>
      </c>
      <c r="N43" s="8">
        <f t="shared" si="0"/>
        <v>0.82231463114166614</v>
      </c>
      <c r="O43" s="8"/>
      <c r="P43" s="8"/>
      <c r="Q43" s="8"/>
      <c r="R43" s="8"/>
      <c r="S43" s="8"/>
    </row>
    <row r="44" spans="1:19" s="5" customFormat="1" ht="13.2" x14ac:dyDescent="0.3">
      <c r="A44" s="6"/>
      <c r="E44" s="5">
        <v>42</v>
      </c>
      <c r="F44" s="5">
        <f t="shared" si="1"/>
        <v>42</v>
      </c>
      <c r="G44" s="8">
        <f t="shared" si="7"/>
        <v>15.605836734145964</v>
      </c>
      <c r="H44" s="8">
        <f t="shared" si="3"/>
        <v>603.71818014910991</v>
      </c>
      <c r="I44" s="8">
        <f t="shared" si="9"/>
        <v>0</v>
      </c>
      <c r="J44" s="8">
        <f t="shared" si="4"/>
        <v>1600</v>
      </c>
      <c r="K44" s="8">
        <f t="shared" si="5"/>
        <v>2.6502431972560814</v>
      </c>
      <c r="L44" s="8">
        <f t="shared" si="8"/>
        <v>50</v>
      </c>
      <c r="M44" s="8">
        <f t="shared" si="6"/>
        <v>132.51215986280408</v>
      </c>
      <c r="N44" s="8">
        <f t="shared" si="0"/>
        <v>1.3251215986280409</v>
      </c>
      <c r="O44" s="8"/>
      <c r="P44" s="8"/>
      <c r="Q44" s="8"/>
      <c r="R44" s="8"/>
      <c r="S44" s="8"/>
    </row>
    <row r="45" spans="1:19" s="5" customFormat="1" ht="13.2" x14ac:dyDescent="0.3">
      <c r="A45" s="6"/>
      <c r="E45" s="5">
        <v>43</v>
      </c>
      <c r="F45" s="5">
        <f t="shared" si="1"/>
        <v>43</v>
      </c>
      <c r="G45" s="8">
        <f t="shared" si="7"/>
        <v>0</v>
      </c>
      <c r="H45" s="8">
        <f t="shared" si="3"/>
        <v>619.32401688325592</v>
      </c>
      <c r="I45" s="8">
        <f t="shared" si="9"/>
        <v>4.7729606753302418</v>
      </c>
      <c r="J45" s="8">
        <f t="shared" si="4"/>
        <v>1000</v>
      </c>
      <c r="K45" s="8">
        <f t="shared" si="5"/>
        <v>1.6146636861145698</v>
      </c>
      <c r="L45" s="8">
        <f t="shared" si="8"/>
        <v>49.999999999999993</v>
      </c>
      <c r="M45" s="8">
        <f t="shared" si="6"/>
        <v>80.733184305728471</v>
      </c>
      <c r="N45" s="8">
        <f t="shared" si="0"/>
        <v>0.80733184305728467</v>
      </c>
      <c r="O45" s="8"/>
      <c r="P45" s="8"/>
      <c r="Q45" s="8"/>
      <c r="R45" s="8"/>
      <c r="S45" s="8"/>
    </row>
    <row r="46" spans="1:19" s="5" customFormat="1" ht="13.2" x14ac:dyDescent="0.3">
      <c r="A46" s="6"/>
      <c r="E46" s="5">
        <v>44</v>
      </c>
      <c r="F46" s="5">
        <f t="shared" si="1"/>
        <v>44</v>
      </c>
      <c r="G46" s="8">
        <f t="shared" si="7"/>
        <v>0</v>
      </c>
      <c r="H46" s="8">
        <f t="shared" si="3"/>
        <v>614.55105620792563</v>
      </c>
      <c r="I46" s="8">
        <f t="shared" si="9"/>
        <v>4.5820422483170251</v>
      </c>
      <c r="J46" s="8">
        <f t="shared" si="4"/>
        <v>1000</v>
      </c>
      <c r="K46" s="8">
        <f t="shared" si="5"/>
        <v>1.6272041027322921</v>
      </c>
      <c r="L46" s="8">
        <f t="shared" si="8"/>
        <v>50</v>
      </c>
      <c r="M46" s="8">
        <f t="shared" si="6"/>
        <v>81.36020513661461</v>
      </c>
      <c r="N46" s="8">
        <f t="shared" si="0"/>
        <v>0.81360205136614605</v>
      </c>
      <c r="O46" s="8"/>
      <c r="P46" s="8"/>
      <c r="Q46" s="8"/>
      <c r="R46" s="8"/>
      <c r="S46" s="8"/>
    </row>
    <row r="47" spans="1:19" s="5" customFormat="1" ht="13.2" x14ac:dyDescent="0.3">
      <c r="A47" s="6"/>
      <c r="E47" s="5">
        <v>45</v>
      </c>
      <c r="F47" s="5">
        <f t="shared" si="1"/>
        <v>45</v>
      </c>
      <c r="G47" s="8">
        <f t="shared" si="7"/>
        <v>14.954017533983787</v>
      </c>
      <c r="H47" s="8">
        <f t="shared" si="3"/>
        <v>609.96901395960856</v>
      </c>
      <c r="I47" s="8">
        <f t="shared" si="9"/>
        <v>0</v>
      </c>
      <c r="J47" s="8">
        <f t="shared" si="4"/>
        <v>1600</v>
      </c>
      <c r="K47" s="8">
        <f t="shared" si="5"/>
        <v>2.6230840639159911</v>
      </c>
      <c r="L47" s="8">
        <f t="shared" si="8"/>
        <v>50</v>
      </c>
      <c r="M47" s="8">
        <f t="shared" si="6"/>
        <v>131.15420319579957</v>
      </c>
      <c r="N47" s="8">
        <f t="shared" si="0"/>
        <v>1.3115420319579956</v>
      </c>
      <c r="O47" s="8"/>
      <c r="P47" s="8"/>
      <c r="Q47" s="8"/>
      <c r="R47" s="8"/>
      <c r="S47" s="8"/>
    </row>
    <row r="48" spans="1:19" s="5" customFormat="1" ht="13.2" x14ac:dyDescent="0.3">
      <c r="A48" s="6"/>
      <c r="E48" s="5">
        <v>46</v>
      </c>
      <c r="F48" s="5">
        <f t="shared" si="1"/>
        <v>46</v>
      </c>
      <c r="G48" s="8">
        <f t="shared" si="7"/>
        <v>0</v>
      </c>
      <c r="H48" s="8">
        <f t="shared" si="3"/>
        <v>624.92303149359236</v>
      </c>
      <c r="I48" s="8">
        <f t="shared" si="9"/>
        <v>4.9969212597436927</v>
      </c>
      <c r="J48" s="8">
        <f t="shared" si="4"/>
        <v>1000</v>
      </c>
      <c r="K48" s="8">
        <f t="shared" si="5"/>
        <v>1.6001970636447147</v>
      </c>
      <c r="L48" s="8">
        <f t="shared" si="8"/>
        <v>49.999999999999993</v>
      </c>
      <c r="M48" s="8">
        <f t="shared" si="6"/>
        <v>80.00985318223573</v>
      </c>
      <c r="N48" s="8">
        <f t="shared" si="0"/>
        <v>0.80009853182235735</v>
      </c>
      <c r="O48" s="8"/>
      <c r="P48" s="8"/>
      <c r="Q48" s="8"/>
      <c r="R48" s="8"/>
      <c r="S48" s="8"/>
    </row>
    <row r="49" spans="1:19" s="5" customFormat="1" ht="13.2" x14ac:dyDescent="0.3">
      <c r="A49" s="6"/>
      <c r="E49" s="5">
        <v>47</v>
      </c>
      <c r="F49" s="5">
        <f t="shared" si="1"/>
        <v>47</v>
      </c>
      <c r="G49" s="8">
        <f t="shared" si="7"/>
        <v>0</v>
      </c>
      <c r="H49" s="8">
        <f t="shared" si="3"/>
        <v>619.9261102338487</v>
      </c>
      <c r="I49" s="8">
        <f t="shared" si="9"/>
        <v>4.7970444093539477</v>
      </c>
      <c r="J49" s="8">
        <f t="shared" si="4"/>
        <v>1000</v>
      </c>
      <c r="K49" s="8">
        <f t="shared" si="5"/>
        <v>1.61309546975329</v>
      </c>
      <c r="L49" s="8">
        <f t="shared" si="8"/>
        <v>50</v>
      </c>
      <c r="M49" s="8">
        <f t="shared" si="6"/>
        <v>80.654773487664499</v>
      </c>
      <c r="N49" s="8">
        <f t="shared" si="0"/>
        <v>0.80654773487664499</v>
      </c>
      <c r="O49" s="8"/>
      <c r="P49" s="8"/>
      <c r="Q49" s="8"/>
      <c r="R49" s="8"/>
      <c r="S49" s="8"/>
    </row>
    <row r="50" spans="1:19" s="5" customFormat="1" ht="13.2" x14ac:dyDescent="0.3">
      <c r="A50" s="6"/>
      <c r="E50" s="5">
        <v>48</v>
      </c>
      <c r="F50" s="5">
        <f t="shared" si="1"/>
        <v>48</v>
      </c>
      <c r="G50" s="8">
        <f t="shared" si="7"/>
        <v>14.425923490593235</v>
      </c>
      <c r="H50" s="8">
        <f t="shared" si="3"/>
        <v>615.12906582449477</v>
      </c>
      <c r="I50" s="8">
        <f t="shared" si="9"/>
        <v>0</v>
      </c>
      <c r="J50" s="8">
        <f t="shared" si="4"/>
        <v>1600</v>
      </c>
      <c r="K50" s="8">
        <f t="shared" si="5"/>
        <v>2.6010801454413848</v>
      </c>
      <c r="L50" s="8">
        <f t="shared" si="8"/>
        <v>50</v>
      </c>
      <c r="M50" s="8">
        <f t="shared" si="6"/>
        <v>130.05400727206924</v>
      </c>
      <c r="N50" s="8">
        <f t="shared" si="0"/>
        <v>1.3005400727206924</v>
      </c>
      <c r="O50" s="8"/>
      <c r="P50" s="8"/>
      <c r="Q50" s="8"/>
      <c r="R50" s="8"/>
      <c r="S50" s="8"/>
    </row>
    <row r="51" spans="1:19" s="5" customFormat="1" ht="13.2" x14ac:dyDescent="0.3">
      <c r="A51" s="6"/>
      <c r="E51" s="5">
        <v>49</v>
      </c>
      <c r="F51" s="5">
        <f t="shared" si="1"/>
        <v>49</v>
      </c>
      <c r="G51" s="8">
        <f t="shared" si="7"/>
        <v>0</v>
      </c>
      <c r="H51" s="8">
        <f t="shared" si="3"/>
        <v>629.55498931508805</v>
      </c>
      <c r="I51" s="8">
        <f t="shared" si="9"/>
        <v>17.182199572603523</v>
      </c>
      <c r="J51" s="8">
        <f t="shared" si="4"/>
        <v>400</v>
      </c>
      <c r="K51" s="8">
        <f t="shared" si="5"/>
        <v>0.63536943839516247</v>
      </c>
      <c r="L51" s="8">
        <f t="shared" si="8"/>
        <v>50</v>
      </c>
      <c r="M51" s="8">
        <f t="shared" si="6"/>
        <v>31.768471919758124</v>
      </c>
      <c r="N51" s="8">
        <f t="shared" si="0"/>
        <v>0.31768471919758123</v>
      </c>
      <c r="O51" s="8"/>
      <c r="P51" s="8"/>
      <c r="Q51" s="8"/>
      <c r="R51" s="8"/>
      <c r="S51" s="8"/>
    </row>
    <row r="52" spans="1:19" s="5" customFormat="1" ht="13.2" x14ac:dyDescent="0.3">
      <c r="A52" s="6"/>
      <c r="E52" s="5">
        <v>50</v>
      </c>
      <c r="F52" s="5">
        <f t="shared" si="1"/>
        <v>50</v>
      </c>
      <c r="G52" s="8">
        <f t="shared" si="7"/>
        <v>0</v>
      </c>
      <c r="H52" s="8">
        <f t="shared" si="3"/>
        <v>612.37278974248454</v>
      </c>
      <c r="I52" s="8">
        <f t="shared" si="9"/>
        <v>4.494911589699381</v>
      </c>
      <c r="J52" s="8">
        <f t="shared" si="4"/>
        <v>1000</v>
      </c>
      <c r="K52" s="8">
        <f t="shared" si="5"/>
        <v>1.6329922177314913</v>
      </c>
      <c r="L52" s="8">
        <f t="shared" si="8"/>
        <v>50</v>
      </c>
      <c r="M52" s="8">
        <f t="shared" si="6"/>
        <v>81.649610886574564</v>
      </c>
      <c r="N52" s="8">
        <f t="shared" si="0"/>
        <v>0.81649610886574564</v>
      </c>
      <c r="O52" s="8"/>
      <c r="P52" s="8"/>
      <c r="Q52" s="8"/>
      <c r="R52" s="8"/>
      <c r="S52" s="8"/>
    </row>
    <row r="53" spans="1:19" s="5" customFormat="1" ht="13.2" x14ac:dyDescent="0.3">
      <c r="A53" s="6"/>
      <c r="E53" s="5">
        <v>51</v>
      </c>
      <c r="F53" s="5">
        <f t="shared" si="1"/>
        <v>51</v>
      </c>
      <c r="G53" s="8">
        <f t="shared" si="7"/>
        <v>15.170583072852789</v>
      </c>
      <c r="H53" s="8">
        <f t="shared" si="3"/>
        <v>607.87787815278512</v>
      </c>
      <c r="I53" s="8">
        <f t="shared" si="9"/>
        <v>0</v>
      </c>
      <c r="J53" s="8">
        <f t="shared" si="4"/>
        <v>1600</v>
      </c>
      <c r="K53" s="8">
        <f t="shared" si="5"/>
        <v>2.6321076280355329</v>
      </c>
      <c r="L53" s="8">
        <f t="shared" si="8"/>
        <v>50</v>
      </c>
      <c r="M53" s="8">
        <f t="shared" si="6"/>
        <v>131.60538140177664</v>
      </c>
      <c r="N53" s="8">
        <f t="shared" si="0"/>
        <v>1.3160538140177664</v>
      </c>
      <c r="O53" s="8"/>
      <c r="P53" s="8"/>
      <c r="Q53" s="8"/>
      <c r="R53" s="8"/>
      <c r="S53" s="8"/>
    </row>
    <row r="54" spans="1:19" s="5" customFormat="1" ht="13.2" x14ac:dyDescent="0.3">
      <c r="A54" s="6"/>
      <c r="E54" s="5">
        <v>52</v>
      </c>
      <c r="F54" s="5">
        <f t="shared" si="1"/>
        <v>52</v>
      </c>
      <c r="G54" s="8">
        <f t="shared" si="7"/>
        <v>0</v>
      </c>
      <c r="H54" s="8">
        <f t="shared" si="3"/>
        <v>623.04846122563788</v>
      </c>
      <c r="I54" s="8">
        <f t="shared" si="9"/>
        <v>4.9219384490255145</v>
      </c>
      <c r="J54" s="8">
        <f t="shared" si="4"/>
        <v>1000</v>
      </c>
      <c r="K54" s="8">
        <f t="shared" si="5"/>
        <v>1.6050115877548867</v>
      </c>
      <c r="L54" s="8">
        <f t="shared" si="8"/>
        <v>50</v>
      </c>
      <c r="M54" s="8">
        <f t="shared" si="6"/>
        <v>80.250579387744338</v>
      </c>
      <c r="N54" s="8">
        <f t="shared" si="0"/>
        <v>0.80250579387744336</v>
      </c>
      <c r="O54" s="8"/>
      <c r="P54" s="8"/>
      <c r="Q54" s="8"/>
      <c r="R54" s="8"/>
      <c r="S54" s="8"/>
    </row>
    <row r="55" spans="1:19" s="5" customFormat="1" ht="13.2" x14ac:dyDescent="0.3">
      <c r="A55" s="6"/>
      <c r="E55" s="5">
        <v>53</v>
      </c>
      <c r="F55" s="5">
        <f t="shared" si="1"/>
        <v>53</v>
      </c>
      <c r="G55" s="8">
        <f t="shared" si="7"/>
        <v>0</v>
      </c>
      <c r="H55" s="8">
        <f t="shared" si="3"/>
        <v>618.12652277661232</v>
      </c>
      <c r="I55" s="8">
        <f t="shared" si="9"/>
        <v>4.7250609110644941</v>
      </c>
      <c r="J55" s="8">
        <f t="shared" si="4"/>
        <v>1000</v>
      </c>
      <c r="K55" s="8">
        <f t="shared" si="5"/>
        <v>1.6177917677889302</v>
      </c>
      <c r="L55" s="8">
        <f t="shared" si="8"/>
        <v>49.999999999999993</v>
      </c>
      <c r="M55" s="8">
        <f t="shared" si="6"/>
        <v>80.889588389446502</v>
      </c>
      <c r="N55" s="8">
        <f t="shared" si="0"/>
        <v>0.80889588389446498</v>
      </c>
      <c r="O55" s="8"/>
      <c r="P55" s="8"/>
      <c r="Q55" s="8"/>
      <c r="R55" s="8"/>
      <c r="S55" s="8"/>
    </row>
    <row r="56" spans="1:19" s="5" customFormat="1" ht="13.2" x14ac:dyDescent="0.3">
      <c r="A56" s="6"/>
      <c r="E56" s="5">
        <v>54</v>
      </c>
      <c r="F56" s="5">
        <f t="shared" si="1"/>
        <v>54</v>
      </c>
      <c r="G56" s="8">
        <f t="shared" si="7"/>
        <v>14.60174190523357</v>
      </c>
      <c r="H56" s="8">
        <f t="shared" si="3"/>
        <v>613.40146186554784</v>
      </c>
      <c r="I56" s="8">
        <f t="shared" si="9"/>
        <v>0</v>
      </c>
      <c r="J56" s="8">
        <f t="shared" si="4"/>
        <v>1600</v>
      </c>
      <c r="K56" s="8">
        <f t="shared" si="5"/>
        <v>2.6084059127180654</v>
      </c>
      <c r="L56" s="8">
        <f t="shared" si="8"/>
        <v>50</v>
      </c>
      <c r="M56" s="8">
        <f t="shared" si="6"/>
        <v>130.42029563590327</v>
      </c>
      <c r="N56" s="8">
        <f t="shared" si="0"/>
        <v>1.3042029563590327</v>
      </c>
      <c r="O56" s="8"/>
      <c r="P56" s="8"/>
      <c r="Q56" s="8"/>
      <c r="R56" s="8"/>
      <c r="S56" s="8"/>
    </row>
    <row r="57" spans="1:19" s="5" customFormat="1" ht="13.2" x14ac:dyDescent="0.3">
      <c r="A57" s="6"/>
      <c r="E57" s="5">
        <v>55</v>
      </c>
      <c r="F57" s="5">
        <f t="shared" si="1"/>
        <v>55</v>
      </c>
      <c r="G57" s="8">
        <f t="shared" si="7"/>
        <v>0</v>
      </c>
      <c r="H57" s="8">
        <f t="shared" si="3"/>
        <v>628.0032037707814</v>
      </c>
      <c r="I57" s="8">
        <f t="shared" si="9"/>
        <v>5.1201281508312553</v>
      </c>
      <c r="J57" s="8">
        <f t="shared" si="4"/>
        <v>1000</v>
      </c>
      <c r="K57" s="8">
        <f t="shared" si="5"/>
        <v>1.5923485644589099</v>
      </c>
      <c r="L57" s="8">
        <f t="shared" si="8"/>
        <v>50</v>
      </c>
      <c r="M57" s="8">
        <f t="shared" si="6"/>
        <v>79.617428222945492</v>
      </c>
      <c r="N57" s="8">
        <f t="shared" si="0"/>
        <v>0.79617428222945497</v>
      </c>
      <c r="O57" s="8"/>
      <c r="P57" s="8"/>
      <c r="Q57" s="8"/>
      <c r="R57" s="8"/>
      <c r="S57" s="8"/>
    </row>
    <row r="58" spans="1:19" s="5" customFormat="1" ht="13.2" x14ac:dyDescent="0.3">
      <c r="A58" s="6"/>
      <c r="E58" s="5">
        <v>56</v>
      </c>
      <c r="F58" s="5">
        <f t="shared" si="1"/>
        <v>56</v>
      </c>
      <c r="G58" s="8">
        <f t="shared" si="7"/>
        <v>0</v>
      </c>
      <c r="H58" s="8">
        <f t="shared" si="3"/>
        <v>622.88307561995009</v>
      </c>
      <c r="I58" s="8">
        <f t="shared" si="9"/>
        <v>16.915323024798003</v>
      </c>
      <c r="J58" s="8">
        <f t="shared" si="4"/>
        <v>400</v>
      </c>
      <c r="K58" s="8">
        <f t="shared" si="5"/>
        <v>0.64217509779324711</v>
      </c>
      <c r="L58" s="8">
        <f t="shared" si="8"/>
        <v>50</v>
      </c>
      <c r="M58" s="8">
        <f t="shared" si="6"/>
        <v>32.108754889662357</v>
      </c>
      <c r="N58" s="8">
        <f t="shared" si="0"/>
        <v>0.32108754889662355</v>
      </c>
      <c r="O58" s="8"/>
      <c r="P58" s="8"/>
      <c r="Q58" s="8"/>
      <c r="R58" s="8"/>
      <c r="S58" s="8"/>
    </row>
    <row r="59" spans="1:19" s="5" customFormat="1" ht="13.2" x14ac:dyDescent="0.3">
      <c r="A59" s="6"/>
      <c r="E59" s="5">
        <v>57</v>
      </c>
      <c r="F59" s="5">
        <f t="shared" si="1"/>
        <v>57</v>
      </c>
      <c r="G59" s="8">
        <f t="shared" si="7"/>
        <v>15.369708760154261</v>
      </c>
      <c r="H59" s="8">
        <f t="shared" si="3"/>
        <v>605.96775259515209</v>
      </c>
      <c r="I59" s="8">
        <f t="shared" si="9"/>
        <v>0</v>
      </c>
      <c r="J59" s="8">
        <f t="shared" si="4"/>
        <v>1600</v>
      </c>
      <c r="K59" s="8">
        <f t="shared" si="5"/>
        <v>2.6404045316730942</v>
      </c>
      <c r="L59" s="8">
        <f t="shared" si="8"/>
        <v>50</v>
      </c>
      <c r="M59" s="8">
        <f t="shared" si="6"/>
        <v>132.0202265836547</v>
      </c>
      <c r="N59" s="8">
        <f t="shared" si="0"/>
        <v>1.3202022658365471</v>
      </c>
      <c r="O59" s="8"/>
      <c r="P59" s="8"/>
      <c r="Q59" s="8"/>
      <c r="R59" s="8"/>
      <c r="S59" s="8"/>
    </row>
    <row r="60" spans="1:19" s="5" customFormat="1" ht="13.2" x14ac:dyDescent="0.3">
      <c r="A60" s="6"/>
      <c r="E60" s="5">
        <v>58</v>
      </c>
      <c r="F60" s="5">
        <f t="shared" si="1"/>
        <v>58</v>
      </c>
      <c r="G60" s="8">
        <f t="shared" si="7"/>
        <v>0</v>
      </c>
      <c r="H60" s="8">
        <f t="shared" si="3"/>
        <v>621.33746135530635</v>
      </c>
      <c r="I60" s="8">
        <f t="shared" si="9"/>
        <v>4.8534984542122528</v>
      </c>
      <c r="J60" s="8">
        <f t="shared" si="4"/>
        <v>1000</v>
      </c>
      <c r="K60" s="8">
        <f t="shared" si="5"/>
        <v>1.6094313673261025</v>
      </c>
      <c r="L60" s="8">
        <f t="shared" si="8"/>
        <v>50</v>
      </c>
      <c r="M60" s="8">
        <f t="shared" si="6"/>
        <v>80.471568366305121</v>
      </c>
      <c r="N60" s="8">
        <f t="shared" si="0"/>
        <v>0.80471568366305124</v>
      </c>
      <c r="O60" s="8"/>
      <c r="P60" s="8"/>
      <c r="Q60" s="8"/>
      <c r="R60" s="8"/>
      <c r="S60" s="8"/>
    </row>
    <row r="61" spans="1:19" s="5" customFormat="1" ht="13.2" x14ac:dyDescent="0.3">
      <c r="A61" s="6"/>
      <c r="E61" s="5">
        <v>59</v>
      </c>
      <c r="F61" s="5">
        <f t="shared" si="1"/>
        <v>59</v>
      </c>
      <c r="G61" s="8">
        <f t="shared" si="7"/>
        <v>0</v>
      </c>
      <c r="H61" s="8">
        <f t="shared" si="3"/>
        <v>616.48396290109406</v>
      </c>
      <c r="I61" s="8">
        <f t="shared" si="9"/>
        <v>4.6593585160437581</v>
      </c>
      <c r="J61" s="8">
        <f t="shared" si="4"/>
        <v>1000</v>
      </c>
      <c r="K61" s="8">
        <f t="shared" si="5"/>
        <v>1.6221022121875301</v>
      </c>
      <c r="L61" s="8">
        <f t="shared" si="8"/>
        <v>50.000000000000014</v>
      </c>
      <c r="M61" s="8">
        <f t="shared" si="6"/>
        <v>81.105110609376524</v>
      </c>
      <c r="N61" s="8">
        <f t="shared" si="0"/>
        <v>0.81105110609376529</v>
      </c>
      <c r="O61" s="8"/>
      <c r="P61" s="8"/>
      <c r="Q61" s="8"/>
      <c r="R61" s="8"/>
      <c r="S61" s="8"/>
    </row>
    <row r="62" spans="1:19" s="5" customFormat="1" ht="13.2" x14ac:dyDescent="0.3">
      <c r="A62" s="6"/>
      <c r="E62" s="5">
        <v>60</v>
      </c>
      <c r="F62" s="5">
        <f t="shared" si="1"/>
        <v>60</v>
      </c>
      <c r="G62" s="8">
        <f t="shared" si="7"/>
        <v>14.763085571879106</v>
      </c>
      <c r="H62" s="8">
        <f t="shared" si="3"/>
        <v>611.82460438505029</v>
      </c>
      <c r="I62" s="8">
        <f t="shared" si="9"/>
        <v>0</v>
      </c>
      <c r="J62" s="8">
        <f t="shared" si="4"/>
        <v>1600</v>
      </c>
      <c r="K62" s="8">
        <f t="shared" si="5"/>
        <v>2.6151285654949632</v>
      </c>
      <c r="L62" s="8">
        <f t="shared" si="8"/>
        <v>50</v>
      </c>
      <c r="M62" s="8">
        <f t="shared" si="6"/>
        <v>130.75642827474815</v>
      </c>
      <c r="N62" s="8">
        <f t="shared" si="0"/>
        <v>1.3075642827474814</v>
      </c>
      <c r="O62" s="8"/>
      <c r="P62" s="8"/>
      <c r="Q62" s="8"/>
      <c r="R62" s="8"/>
      <c r="S62" s="8"/>
    </row>
    <row r="63" spans="1:19" s="5" customFormat="1" ht="13.2" x14ac:dyDescent="0.3">
      <c r="A63" s="6"/>
      <c r="E63" s="5">
        <v>61</v>
      </c>
      <c r="F63" s="5">
        <f t="shared" si="1"/>
        <v>61</v>
      </c>
      <c r="G63" s="8">
        <f t="shared" si="7"/>
        <v>0</v>
      </c>
      <c r="H63" s="8">
        <f t="shared" si="3"/>
        <v>626.58768995692935</v>
      </c>
      <c r="I63" s="8">
        <f t="shared" si="9"/>
        <v>5.0635075982771731</v>
      </c>
      <c r="J63" s="8">
        <f t="shared" si="4"/>
        <v>1000</v>
      </c>
      <c r="K63" s="8">
        <f t="shared" si="5"/>
        <v>1.5959458125785051</v>
      </c>
      <c r="L63" s="8">
        <f t="shared" si="8"/>
        <v>50</v>
      </c>
      <c r="M63" s="8">
        <f t="shared" si="6"/>
        <v>79.797290628925253</v>
      </c>
      <c r="N63" s="8">
        <f t="shared" si="0"/>
        <v>0.79797290628925255</v>
      </c>
      <c r="O63" s="8"/>
      <c r="P63" s="8"/>
      <c r="Q63" s="8"/>
      <c r="R63" s="8"/>
      <c r="S63" s="8"/>
    </row>
    <row r="64" spans="1:19" s="5" customFormat="1" ht="13.2" x14ac:dyDescent="0.3">
      <c r="A64" s="6"/>
      <c r="E64" s="5">
        <v>62</v>
      </c>
      <c r="F64" s="5">
        <f t="shared" si="1"/>
        <v>62</v>
      </c>
      <c r="G64" s="8">
        <f t="shared" si="7"/>
        <v>0</v>
      </c>
      <c r="H64" s="8">
        <f t="shared" si="3"/>
        <v>621.52418235865218</v>
      </c>
      <c r="I64" s="8">
        <f t="shared" si="9"/>
        <v>4.8609672943460867</v>
      </c>
      <c r="J64" s="8">
        <f t="shared" si="4"/>
        <v>1000</v>
      </c>
      <c r="K64" s="8">
        <f t="shared" si="5"/>
        <v>1.6089478549411411</v>
      </c>
      <c r="L64" s="8">
        <f t="shared" si="8"/>
        <v>50</v>
      </c>
      <c r="M64" s="8">
        <f t="shared" si="6"/>
        <v>80.447392747057052</v>
      </c>
      <c r="N64" s="8">
        <f t="shared" si="0"/>
        <v>0.80447392747057056</v>
      </c>
      <c r="O64" s="8"/>
      <c r="P64" s="8"/>
      <c r="Q64" s="8"/>
      <c r="R64" s="8"/>
      <c r="S64" s="8"/>
    </row>
    <row r="65" spans="1:19" s="5" customFormat="1" ht="13.2" x14ac:dyDescent="0.3">
      <c r="A65" s="6"/>
      <c r="E65" s="5">
        <v>63</v>
      </c>
      <c r="F65" s="5">
        <f t="shared" si="1"/>
        <v>63</v>
      </c>
      <c r="G65" s="8">
        <f t="shared" si="7"/>
        <v>14.270618810943056</v>
      </c>
      <c r="H65" s="8">
        <f t="shared" si="3"/>
        <v>616.66321506430609</v>
      </c>
      <c r="I65" s="8">
        <f t="shared" si="9"/>
        <v>0</v>
      </c>
      <c r="J65" s="8">
        <f t="shared" si="4"/>
        <v>1600</v>
      </c>
      <c r="K65" s="8">
        <f t="shared" si="5"/>
        <v>2.5946091171226273</v>
      </c>
      <c r="L65" s="8">
        <f t="shared" si="8"/>
        <v>50</v>
      </c>
      <c r="M65" s="8">
        <f t="shared" si="6"/>
        <v>129.73045585613136</v>
      </c>
      <c r="N65" s="8">
        <f t="shared" si="0"/>
        <v>1.2973045585613137</v>
      </c>
      <c r="O65" s="8"/>
      <c r="P65" s="8"/>
      <c r="Q65" s="8"/>
      <c r="R65" s="8"/>
      <c r="S65" s="8"/>
    </row>
    <row r="66" spans="1:19" s="5" customFormat="1" ht="13.2" x14ac:dyDescent="0.3">
      <c r="A66" s="6"/>
      <c r="E66" s="5">
        <v>64</v>
      </c>
      <c r="F66" s="5">
        <f t="shared" si="1"/>
        <v>64</v>
      </c>
      <c r="G66" s="8">
        <f t="shared" si="7"/>
        <v>0</v>
      </c>
      <c r="H66" s="8">
        <f t="shared" si="3"/>
        <v>630.93383387524909</v>
      </c>
      <c r="I66" s="8">
        <f t="shared" si="9"/>
        <v>5.2373533550099625</v>
      </c>
      <c r="J66" s="8">
        <f t="shared" si="4"/>
        <v>1000</v>
      </c>
      <c r="K66" s="8">
        <f t="shared" si="5"/>
        <v>1.584952250631283</v>
      </c>
      <c r="L66" s="8">
        <f t="shared" si="8"/>
        <v>49.999999999999993</v>
      </c>
      <c r="M66" s="8">
        <f t="shared" si="6"/>
        <v>79.247612531564144</v>
      </c>
      <c r="N66" s="8">
        <f t="shared" ref="N66:N129" si="10">M66/$B$10</f>
        <v>0.79247612531564149</v>
      </c>
      <c r="O66" s="8"/>
      <c r="P66" s="8"/>
      <c r="Q66" s="8"/>
      <c r="R66" s="8"/>
      <c r="S66" s="8"/>
    </row>
    <row r="67" spans="1:19" s="5" customFormat="1" ht="13.2" x14ac:dyDescent="0.3">
      <c r="A67" s="6"/>
      <c r="E67" s="5">
        <v>65</v>
      </c>
      <c r="F67" s="5">
        <f t="shared" ref="F67:F130" si="11">E67*$B$2</f>
        <v>65</v>
      </c>
      <c r="G67" s="8">
        <f t="shared" si="7"/>
        <v>0</v>
      </c>
      <c r="H67" s="8">
        <f t="shared" si="3"/>
        <v>625.69648052023911</v>
      </c>
      <c r="I67" s="8">
        <f t="shared" si="9"/>
        <v>5.0278592208095638</v>
      </c>
      <c r="J67" s="8">
        <f t="shared" si="4"/>
        <v>1000</v>
      </c>
      <c r="K67" s="8">
        <f t="shared" si="5"/>
        <v>1.5982189945651348</v>
      </c>
      <c r="L67" s="8">
        <f t="shared" ref="L67:L130" si="12">$B$8*(J67/(H67*K67))</f>
        <v>50</v>
      </c>
      <c r="M67" s="8">
        <f t="shared" ref="M67:M130" si="13">K67*L67</f>
        <v>79.910949728256739</v>
      </c>
      <c r="N67" s="8">
        <f t="shared" si="10"/>
        <v>0.79910949728256742</v>
      </c>
      <c r="O67" s="8"/>
      <c r="P67" s="8"/>
      <c r="Q67" s="8"/>
      <c r="R67" s="8"/>
      <c r="S67" s="8"/>
    </row>
    <row r="68" spans="1:19" s="5" customFormat="1" ht="13.2" x14ac:dyDescent="0.3">
      <c r="A68" s="6"/>
      <c r="E68" s="5">
        <v>66</v>
      </c>
      <c r="F68" s="5">
        <f t="shared" si="11"/>
        <v>66</v>
      </c>
      <c r="G68" s="8">
        <f t="shared" ref="G68:G131" si="14">MAX(0,IF(N68&gt;=1,J68*$B$4*$B$2*(N68-1),0))</f>
        <v>13.868763269530046</v>
      </c>
      <c r="H68" s="8">
        <f t="shared" ref="H68:H131" si="15">H67+(G67-I67)</f>
        <v>620.66862129942956</v>
      </c>
      <c r="I68" s="8">
        <f t="shared" si="9"/>
        <v>0</v>
      </c>
      <c r="J68" s="8">
        <f t="shared" ref="J68:J131" si="16">IF(MOD(F68,3)=0,$B$6+$B$6*$B$12,IF(MOD(F68,7)=0,$B$6-$B$6*$B$12,$B$6))</f>
        <v>1600</v>
      </c>
      <c r="K68" s="8">
        <f t="shared" ref="K68:K131" si="17">MIN($B$11,J68/H68)</f>
        <v>2.5778651362304186</v>
      </c>
      <c r="L68" s="8">
        <f t="shared" si="12"/>
        <v>50</v>
      </c>
      <c r="M68" s="8">
        <f t="shared" si="13"/>
        <v>128.89325681152093</v>
      </c>
      <c r="N68" s="8">
        <f t="shared" si="10"/>
        <v>1.2889325681152093</v>
      </c>
      <c r="O68" s="8"/>
      <c r="P68" s="8"/>
      <c r="Q68" s="8"/>
      <c r="R68" s="8"/>
      <c r="S68" s="8"/>
    </row>
    <row r="69" spans="1:19" s="5" customFormat="1" ht="13.2" x14ac:dyDescent="0.3">
      <c r="A69" s="6"/>
      <c r="E69" s="5">
        <v>67</v>
      </c>
      <c r="F69" s="5">
        <f t="shared" si="11"/>
        <v>67</v>
      </c>
      <c r="G69" s="8">
        <f t="shared" si="14"/>
        <v>0</v>
      </c>
      <c r="H69" s="8">
        <f t="shared" si="15"/>
        <v>634.53738456895962</v>
      </c>
      <c r="I69" s="8">
        <f t="shared" si="9"/>
        <v>5.3814953827583834</v>
      </c>
      <c r="J69" s="8">
        <f t="shared" si="16"/>
        <v>1000</v>
      </c>
      <c r="K69" s="8">
        <f t="shared" si="17"/>
        <v>1.5759512746113433</v>
      </c>
      <c r="L69" s="8">
        <f t="shared" si="12"/>
        <v>50</v>
      </c>
      <c r="M69" s="8">
        <f t="shared" si="13"/>
        <v>78.797563730567163</v>
      </c>
      <c r="N69" s="8">
        <f t="shared" si="10"/>
        <v>0.78797563730567166</v>
      </c>
      <c r="O69" s="8"/>
      <c r="P69" s="8"/>
      <c r="Q69" s="8"/>
      <c r="R69" s="8"/>
      <c r="S69" s="8"/>
    </row>
    <row r="70" spans="1:19" s="5" customFormat="1" ht="13.2" x14ac:dyDescent="0.3">
      <c r="A70" s="6"/>
      <c r="E70" s="5">
        <v>68</v>
      </c>
      <c r="F70" s="5">
        <f t="shared" si="11"/>
        <v>68</v>
      </c>
      <c r="G70" s="8">
        <f t="shared" si="14"/>
        <v>0</v>
      </c>
      <c r="H70" s="8">
        <f t="shared" si="15"/>
        <v>629.15588918620119</v>
      </c>
      <c r="I70" s="8">
        <f t="shared" si="9"/>
        <v>5.166235567448048</v>
      </c>
      <c r="J70" s="8">
        <f t="shared" si="16"/>
        <v>1000</v>
      </c>
      <c r="K70" s="8">
        <f t="shared" si="17"/>
        <v>1.5894312001012614</v>
      </c>
      <c r="L70" s="8">
        <f t="shared" si="12"/>
        <v>50</v>
      </c>
      <c r="M70" s="8">
        <f t="shared" si="13"/>
        <v>79.471560005063068</v>
      </c>
      <c r="N70" s="8">
        <f t="shared" si="10"/>
        <v>0.79471560005063069</v>
      </c>
      <c r="O70" s="8"/>
      <c r="P70" s="8"/>
      <c r="Q70" s="8"/>
      <c r="R70" s="8"/>
      <c r="S70" s="8"/>
    </row>
    <row r="71" spans="1:19" s="5" customFormat="1" ht="13.2" x14ac:dyDescent="0.3">
      <c r="A71" s="6"/>
      <c r="E71" s="5">
        <v>69</v>
      </c>
      <c r="F71" s="5">
        <f t="shared" si="11"/>
        <v>69</v>
      </c>
      <c r="G71" s="8">
        <f t="shared" si="14"/>
        <v>13.539481908560187</v>
      </c>
      <c r="H71" s="8">
        <f t="shared" si="15"/>
        <v>623.9896536187531</v>
      </c>
      <c r="I71" s="8">
        <f t="shared" si="9"/>
        <v>0</v>
      </c>
      <c r="J71" s="8">
        <f t="shared" si="16"/>
        <v>1600</v>
      </c>
      <c r="K71" s="8">
        <f t="shared" si="17"/>
        <v>2.5641450795233416</v>
      </c>
      <c r="L71" s="8">
        <f t="shared" si="12"/>
        <v>50</v>
      </c>
      <c r="M71" s="8">
        <f t="shared" si="13"/>
        <v>128.20725397616707</v>
      </c>
      <c r="N71" s="8">
        <f t="shared" si="10"/>
        <v>1.2820725397616706</v>
      </c>
      <c r="O71" s="8"/>
      <c r="P71" s="8"/>
      <c r="Q71" s="8"/>
      <c r="R71" s="8"/>
      <c r="S71" s="8"/>
    </row>
    <row r="72" spans="1:19" s="5" customFormat="1" ht="13.2" x14ac:dyDescent="0.3">
      <c r="A72" s="6"/>
      <c r="E72" s="5">
        <v>70</v>
      </c>
      <c r="F72" s="5">
        <f t="shared" si="11"/>
        <v>70</v>
      </c>
      <c r="G72" s="8">
        <f t="shared" si="14"/>
        <v>0</v>
      </c>
      <c r="H72" s="8">
        <f t="shared" si="15"/>
        <v>637.52913552731331</v>
      </c>
      <c r="I72" s="8">
        <f t="shared" si="9"/>
        <v>17.501165421092534</v>
      </c>
      <c r="J72" s="8">
        <f t="shared" si="16"/>
        <v>400</v>
      </c>
      <c r="K72" s="8">
        <f t="shared" si="17"/>
        <v>0.6274223054435808</v>
      </c>
      <c r="L72" s="8">
        <f t="shared" si="12"/>
        <v>50</v>
      </c>
      <c r="M72" s="8">
        <f t="shared" si="13"/>
        <v>31.37111527217904</v>
      </c>
      <c r="N72" s="8">
        <f t="shared" si="10"/>
        <v>0.3137111527217904</v>
      </c>
      <c r="O72" s="8"/>
      <c r="P72" s="8"/>
      <c r="Q72" s="8"/>
      <c r="R72" s="8"/>
      <c r="S72" s="8"/>
    </row>
    <row r="73" spans="1:19" s="5" customFormat="1" ht="13.2" x14ac:dyDescent="0.3">
      <c r="A73" s="6"/>
      <c r="E73" s="5">
        <v>71</v>
      </c>
      <c r="F73" s="5">
        <f t="shared" si="11"/>
        <v>71</v>
      </c>
      <c r="G73" s="8">
        <f t="shared" si="14"/>
        <v>0</v>
      </c>
      <c r="H73" s="8">
        <f t="shared" si="15"/>
        <v>620.02797010622078</v>
      </c>
      <c r="I73" s="8">
        <f t="shared" si="9"/>
        <v>4.8011188042488318</v>
      </c>
      <c r="J73" s="8">
        <f t="shared" si="16"/>
        <v>1000</v>
      </c>
      <c r="K73" s="8">
        <f t="shared" si="17"/>
        <v>1.6128304660654</v>
      </c>
      <c r="L73" s="8">
        <f t="shared" si="12"/>
        <v>50</v>
      </c>
      <c r="M73" s="8">
        <f t="shared" si="13"/>
        <v>80.641523303270006</v>
      </c>
      <c r="N73" s="8">
        <f t="shared" si="10"/>
        <v>0.80641523303270002</v>
      </c>
      <c r="O73" s="8"/>
      <c r="P73" s="8"/>
      <c r="Q73" s="8"/>
      <c r="R73" s="8"/>
      <c r="S73" s="8"/>
    </row>
    <row r="74" spans="1:19" s="5" customFormat="1" ht="13.2" x14ac:dyDescent="0.3">
      <c r="A74" s="6"/>
      <c r="E74" s="5">
        <v>72</v>
      </c>
      <c r="F74" s="5">
        <f t="shared" si="11"/>
        <v>72</v>
      </c>
      <c r="G74" s="8">
        <f t="shared" si="14"/>
        <v>14.416001380200029</v>
      </c>
      <c r="H74" s="8">
        <f t="shared" si="15"/>
        <v>615.22685130197192</v>
      </c>
      <c r="I74" s="8">
        <f t="shared" ref="I74:I137" si="18">H74*$B$5*$B$2*MAX(0,1-N74)</f>
        <v>0</v>
      </c>
      <c r="J74" s="8">
        <f t="shared" si="16"/>
        <v>1600</v>
      </c>
      <c r="K74" s="8">
        <f t="shared" si="17"/>
        <v>2.6006667241750012</v>
      </c>
      <c r="L74" s="8">
        <f t="shared" si="12"/>
        <v>50</v>
      </c>
      <c r="M74" s="8">
        <f t="shared" si="13"/>
        <v>130.03333620875006</v>
      </c>
      <c r="N74" s="8">
        <f t="shared" si="10"/>
        <v>1.3003333620875006</v>
      </c>
      <c r="O74" s="8"/>
      <c r="P74" s="8"/>
      <c r="Q74" s="8"/>
      <c r="R74" s="8"/>
      <c r="S74" s="8"/>
    </row>
    <row r="75" spans="1:19" s="5" customFormat="1" ht="13.2" x14ac:dyDescent="0.3">
      <c r="A75" s="6"/>
      <c r="E75" s="5">
        <v>73</v>
      </c>
      <c r="F75" s="5">
        <f t="shared" si="11"/>
        <v>73</v>
      </c>
      <c r="G75" s="8">
        <f t="shared" si="14"/>
        <v>0</v>
      </c>
      <c r="H75" s="8">
        <f t="shared" si="15"/>
        <v>629.64285268217191</v>
      </c>
      <c r="I75" s="8">
        <f t="shared" si="18"/>
        <v>5.1857141072868762</v>
      </c>
      <c r="J75" s="8">
        <f t="shared" si="16"/>
        <v>1000</v>
      </c>
      <c r="K75" s="8">
        <f t="shared" si="17"/>
        <v>1.5882019397824805</v>
      </c>
      <c r="L75" s="8">
        <f t="shared" si="12"/>
        <v>50</v>
      </c>
      <c r="M75" s="8">
        <f t="shared" si="13"/>
        <v>79.410096989124028</v>
      </c>
      <c r="N75" s="8">
        <f t="shared" si="10"/>
        <v>0.79410096989124024</v>
      </c>
      <c r="O75" s="8"/>
      <c r="P75" s="8"/>
      <c r="Q75" s="8"/>
      <c r="R75" s="8"/>
      <c r="S75" s="8"/>
    </row>
    <row r="76" spans="1:19" s="5" customFormat="1" ht="13.2" x14ac:dyDescent="0.3">
      <c r="A76" s="6"/>
      <c r="E76" s="5">
        <v>74</v>
      </c>
      <c r="F76" s="5">
        <f t="shared" si="11"/>
        <v>74</v>
      </c>
      <c r="G76" s="8">
        <f t="shared" si="14"/>
        <v>0</v>
      </c>
      <c r="H76" s="8">
        <f t="shared" si="15"/>
        <v>624.45713857488499</v>
      </c>
      <c r="I76" s="8">
        <f t="shared" si="18"/>
        <v>4.9782855429954012</v>
      </c>
      <c r="J76" s="8">
        <f t="shared" si="16"/>
        <v>1000</v>
      </c>
      <c r="K76" s="8">
        <f t="shared" si="17"/>
        <v>1.60139093338282</v>
      </c>
      <c r="L76" s="8">
        <f t="shared" si="12"/>
        <v>49.999999999999993</v>
      </c>
      <c r="M76" s="8">
        <f t="shared" si="13"/>
        <v>80.069546669140991</v>
      </c>
      <c r="N76" s="8">
        <f t="shared" si="10"/>
        <v>0.8006954666914099</v>
      </c>
      <c r="O76" s="8"/>
      <c r="P76" s="8"/>
      <c r="Q76" s="8"/>
      <c r="R76" s="8"/>
      <c r="S76" s="8"/>
    </row>
    <row r="77" spans="1:19" s="5" customFormat="1" ht="13.2" x14ac:dyDescent="0.3">
      <c r="A77" s="6"/>
      <c r="E77" s="5">
        <v>75</v>
      </c>
      <c r="F77" s="5">
        <f t="shared" si="11"/>
        <v>75</v>
      </c>
      <c r="G77" s="8">
        <f t="shared" si="14"/>
        <v>13.987588134866087</v>
      </c>
      <c r="H77" s="8">
        <f t="shared" si="15"/>
        <v>619.47885303188957</v>
      </c>
      <c r="I77" s="8">
        <f t="shared" si="18"/>
        <v>0</v>
      </c>
      <c r="J77" s="8">
        <f t="shared" si="16"/>
        <v>1600</v>
      </c>
      <c r="K77" s="8">
        <f t="shared" si="17"/>
        <v>2.5828161722860861</v>
      </c>
      <c r="L77" s="8">
        <f t="shared" si="12"/>
        <v>50.000000000000014</v>
      </c>
      <c r="M77" s="8">
        <f t="shared" si="13"/>
        <v>129.14080861430435</v>
      </c>
      <c r="N77" s="8">
        <f t="shared" si="10"/>
        <v>1.2914080861430435</v>
      </c>
      <c r="O77" s="8"/>
      <c r="P77" s="8"/>
      <c r="Q77" s="8"/>
      <c r="R77" s="8"/>
      <c r="S77" s="8"/>
    </row>
    <row r="78" spans="1:19" s="5" customFormat="1" ht="13.2" x14ac:dyDescent="0.3">
      <c r="A78" s="6"/>
      <c r="E78" s="5">
        <v>76</v>
      </c>
      <c r="F78" s="5">
        <f t="shared" si="11"/>
        <v>76</v>
      </c>
      <c r="G78" s="8">
        <f t="shared" si="14"/>
        <v>0</v>
      </c>
      <c r="H78" s="8">
        <f t="shared" si="15"/>
        <v>633.46644116675566</v>
      </c>
      <c r="I78" s="8">
        <f t="shared" si="18"/>
        <v>5.3386576466702271</v>
      </c>
      <c r="J78" s="8">
        <f t="shared" si="16"/>
        <v>1000</v>
      </c>
      <c r="K78" s="8">
        <f t="shared" si="17"/>
        <v>1.5786155903667782</v>
      </c>
      <c r="L78" s="8">
        <f t="shared" si="12"/>
        <v>50</v>
      </c>
      <c r="M78" s="8">
        <f t="shared" si="13"/>
        <v>78.930779518338909</v>
      </c>
      <c r="N78" s="8">
        <f t="shared" si="10"/>
        <v>0.78930779518338912</v>
      </c>
      <c r="O78" s="8"/>
      <c r="P78" s="8"/>
      <c r="Q78" s="8"/>
      <c r="R78" s="8"/>
      <c r="S78" s="8"/>
    </row>
    <row r="79" spans="1:19" s="5" customFormat="1" ht="13.2" x14ac:dyDescent="0.3">
      <c r="A79" s="6"/>
      <c r="E79" s="5">
        <v>77</v>
      </c>
      <c r="F79" s="5">
        <f t="shared" si="11"/>
        <v>77</v>
      </c>
      <c r="G79" s="8">
        <f t="shared" si="14"/>
        <v>0</v>
      </c>
      <c r="H79" s="8">
        <f t="shared" si="15"/>
        <v>628.12778352008547</v>
      </c>
      <c r="I79" s="8">
        <f t="shared" si="18"/>
        <v>17.125111340803421</v>
      </c>
      <c r="J79" s="8">
        <f t="shared" si="16"/>
        <v>400</v>
      </c>
      <c r="K79" s="8">
        <f t="shared" si="17"/>
        <v>0.63681309837683575</v>
      </c>
      <c r="L79" s="8">
        <f t="shared" si="12"/>
        <v>50</v>
      </c>
      <c r="M79" s="8">
        <f t="shared" si="13"/>
        <v>31.840654918841789</v>
      </c>
      <c r="N79" s="8">
        <f t="shared" si="10"/>
        <v>0.31840654918841788</v>
      </c>
      <c r="O79" s="8"/>
      <c r="P79" s="8"/>
      <c r="Q79" s="8"/>
      <c r="R79" s="8"/>
      <c r="S79" s="8"/>
    </row>
    <row r="80" spans="1:19" s="5" customFormat="1" ht="13.2" x14ac:dyDescent="0.3">
      <c r="A80" s="6"/>
      <c r="E80" s="5">
        <v>78</v>
      </c>
      <c r="F80" s="5">
        <f t="shared" si="11"/>
        <v>78</v>
      </c>
      <c r="G80" s="8">
        <f t="shared" si="14"/>
        <v>14.847515646760645</v>
      </c>
      <c r="H80" s="8">
        <f t="shared" si="15"/>
        <v>611.00267217928206</v>
      </c>
      <c r="I80" s="8">
        <f t="shared" si="18"/>
        <v>0</v>
      </c>
      <c r="J80" s="8">
        <f t="shared" si="16"/>
        <v>1600</v>
      </c>
      <c r="K80" s="8">
        <f t="shared" si="17"/>
        <v>2.618646485281694</v>
      </c>
      <c r="L80" s="8">
        <f t="shared" si="12"/>
        <v>50</v>
      </c>
      <c r="M80" s="8">
        <f t="shared" si="13"/>
        <v>130.93232426408468</v>
      </c>
      <c r="N80" s="8">
        <f t="shared" si="10"/>
        <v>1.3093232426408468</v>
      </c>
      <c r="O80" s="8"/>
      <c r="P80" s="8"/>
      <c r="Q80" s="8"/>
      <c r="R80" s="8"/>
      <c r="S80" s="8"/>
    </row>
    <row r="81" spans="1:19" s="5" customFormat="1" ht="13.2" x14ac:dyDescent="0.3">
      <c r="A81" s="6"/>
      <c r="E81" s="5">
        <v>79</v>
      </c>
      <c r="F81" s="5">
        <f t="shared" si="11"/>
        <v>79</v>
      </c>
      <c r="G81" s="8">
        <f t="shared" si="14"/>
        <v>0</v>
      </c>
      <c r="H81" s="8">
        <f t="shared" si="15"/>
        <v>625.85018782604266</v>
      </c>
      <c r="I81" s="8">
        <f t="shared" si="18"/>
        <v>5.0340075130417059</v>
      </c>
      <c r="J81" s="8">
        <f t="shared" si="16"/>
        <v>1000</v>
      </c>
      <c r="K81" s="8">
        <f t="shared" si="17"/>
        <v>1.5978264758114185</v>
      </c>
      <c r="L81" s="8">
        <f t="shared" si="12"/>
        <v>50</v>
      </c>
      <c r="M81" s="8">
        <f t="shared" si="13"/>
        <v>79.891323790570922</v>
      </c>
      <c r="N81" s="8">
        <f t="shared" si="10"/>
        <v>0.79891323790570923</v>
      </c>
      <c r="O81" s="8"/>
      <c r="P81" s="8"/>
      <c r="Q81" s="8"/>
      <c r="R81" s="8"/>
      <c r="S81" s="8"/>
    </row>
    <row r="82" spans="1:19" s="5" customFormat="1" ht="13.2" x14ac:dyDescent="0.3">
      <c r="A82" s="6"/>
      <c r="E82" s="5">
        <v>80</v>
      </c>
      <c r="F82" s="5">
        <f t="shared" si="11"/>
        <v>80</v>
      </c>
      <c r="G82" s="8">
        <f t="shared" si="14"/>
        <v>0</v>
      </c>
      <c r="H82" s="8">
        <f t="shared" si="15"/>
        <v>620.81618031300093</v>
      </c>
      <c r="I82" s="8">
        <f t="shared" si="18"/>
        <v>4.8326472125200368</v>
      </c>
      <c r="J82" s="8">
        <f t="shared" si="16"/>
        <v>1000</v>
      </c>
      <c r="K82" s="8">
        <f t="shared" si="17"/>
        <v>1.6107827593923592</v>
      </c>
      <c r="L82" s="8">
        <f t="shared" si="12"/>
        <v>50</v>
      </c>
      <c r="M82" s="8">
        <f t="shared" si="13"/>
        <v>80.539137969617954</v>
      </c>
      <c r="N82" s="8">
        <f t="shared" si="10"/>
        <v>0.80539137969617958</v>
      </c>
      <c r="O82" s="8"/>
      <c r="P82" s="8"/>
      <c r="Q82" s="8"/>
      <c r="R82" s="8"/>
      <c r="S82" s="8"/>
    </row>
    <row r="83" spans="1:19" s="5" customFormat="1" ht="13.2" x14ac:dyDescent="0.3">
      <c r="A83" s="6"/>
      <c r="E83" s="5">
        <v>81</v>
      </c>
      <c r="F83" s="5">
        <f t="shared" si="11"/>
        <v>81</v>
      </c>
      <c r="G83" s="8">
        <f t="shared" si="14"/>
        <v>14.339328791336516</v>
      </c>
      <c r="H83" s="8">
        <f t="shared" si="15"/>
        <v>615.98353310048094</v>
      </c>
      <c r="I83" s="8">
        <f t="shared" si="18"/>
        <v>0</v>
      </c>
      <c r="J83" s="8">
        <f t="shared" si="16"/>
        <v>1600</v>
      </c>
      <c r="K83" s="8">
        <f t="shared" si="17"/>
        <v>2.5974720329723548</v>
      </c>
      <c r="L83" s="8">
        <f t="shared" si="12"/>
        <v>50</v>
      </c>
      <c r="M83" s="8">
        <f t="shared" si="13"/>
        <v>129.87360164861775</v>
      </c>
      <c r="N83" s="8">
        <f t="shared" si="10"/>
        <v>1.2987360164861774</v>
      </c>
      <c r="O83" s="8"/>
      <c r="P83" s="8"/>
      <c r="Q83" s="8"/>
      <c r="R83" s="8"/>
      <c r="S83" s="8"/>
    </row>
    <row r="84" spans="1:19" s="5" customFormat="1" ht="13.2" x14ac:dyDescent="0.3">
      <c r="A84" s="6"/>
      <c r="E84" s="5">
        <v>82</v>
      </c>
      <c r="F84" s="5">
        <f t="shared" si="11"/>
        <v>82</v>
      </c>
      <c r="G84" s="8">
        <f t="shared" si="14"/>
        <v>0</v>
      </c>
      <c r="H84" s="8">
        <f t="shared" si="15"/>
        <v>630.32286189181741</v>
      </c>
      <c r="I84" s="8">
        <f t="shared" si="18"/>
        <v>5.2129144756726937</v>
      </c>
      <c r="J84" s="8">
        <f t="shared" si="16"/>
        <v>1000</v>
      </c>
      <c r="K84" s="8">
        <f t="shared" si="17"/>
        <v>1.5864885449318042</v>
      </c>
      <c r="L84" s="8">
        <f t="shared" si="12"/>
        <v>50</v>
      </c>
      <c r="M84" s="8">
        <f t="shared" si="13"/>
        <v>79.324427246590218</v>
      </c>
      <c r="N84" s="8">
        <f t="shared" si="10"/>
        <v>0.79324427246590223</v>
      </c>
      <c r="O84" s="8"/>
      <c r="P84" s="8"/>
      <c r="Q84" s="8"/>
      <c r="R84" s="8"/>
      <c r="S84" s="8"/>
    </row>
    <row r="85" spans="1:19" s="5" customFormat="1" ht="13.2" x14ac:dyDescent="0.3">
      <c r="A85" s="6"/>
      <c r="E85" s="5">
        <v>83</v>
      </c>
      <c r="F85" s="5">
        <f t="shared" si="11"/>
        <v>83</v>
      </c>
      <c r="G85" s="8">
        <f t="shared" si="14"/>
        <v>0</v>
      </c>
      <c r="H85" s="8">
        <f t="shared" si="15"/>
        <v>625.10994741614468</v>
      </c>
      <c r="I85" s="8">
        <f t="shared" si="18"/>
        <v>5.0043978966457878</v>
      </c>
      <c r="J85" s="8">
        <f t="shared" si="16"/>
        <v>1000</v>
      </c>
      <c r="K85" s="8">
        <f t="shared" si="17"/>
        <v>1.5997185841201877</v>
      </c>
      <c r="L85" s="8">
        <f t="shared" si="12"/>
        <v>50</v>
      </c>
      <c r="M85" s="8">
        <f t="shared" si="13"/>
        <v>79.985929206009388</v>
      </c>
      <c r="N85" s="8">
        <f t="shared" si="10"/>
        <v>0.79985929206009387</v>
      </c>
      <c r="O85" s="8"/>
      <c r="P85" s="8"/>
      <c r="Q85" s="8"/>
      <c r="R85" s="8"/>
      <c r="S85" s="8"/>
    </row>
    <row r="86" spans="1:19" s="5" customFormat="1" ht="13.2" x14ac:dyDescent="0.3">
      <c r="A86" s="6"/>
      <c r="E86" s="5">
        <v>84</v>
      </c>
      <c r="F86" s="5">
        <f t="shared" si="11"/>
        <v>84</v>
      </c>
      <c r="G86" s="8">
        <f t="shared" si="14"/>
        <v>13.924941697030452</v>
      </c>
      <c r="H86" s="8">
        <f t="shared" si="15"/>
        <v>620.10554951949894</v>
      </c>
      <c r="I86" s="8">
        <f t="shared" si="18"/>
        <v>0</v>
      </c>
      <c r="J86" s="8">
        <f t="shared" si="16"/>
        <v>1600</v>
      </c>
      <c r="K86" s="8">
        <f t="shared" si="17"/>
        <v>2.5802059040429355</v>
      </c>
      <c r="L86" s="8">
        <f t="shared" si="12"/>
        <v>50</v>
      </c>
      <c r="M86" s="8">
        <f t="shared" si="13"/>
        <v>129.01029520214678</v>
      </c>
      <c r="N86" s="8">
        <f t="shared" si="10"/>
        <v>1.2901029520214677</v>
      </c>
      <c r="O86" s="8"/>
      <c r="P86" s="8"/>
      <c r="Q86" s="8"/>
      <c r="R86" s="8"/>
      <c r="S86" s="8"/>
    </row>
    <row r="87" spans="1:19" s="5" customFormat="1" ht="13.2" x14ac:dyDescent="0.3">
      <c r="A87" s="6"/>
      <c r="E87" s="5">
        <v>85</v>
      </c>
      <c r="F87" s="5">
        <f t="shared" si="11"/>
        <v>85</v>
      </c>
      <c r="G87" s="8">
        <f t="shared" si="14"/>
        <v>0</v>
      </c>
      <c r="H87" s="8">
        <f t="shared" si="15"/>
        <v>634.03049121652941</v>
      </c>
      <c r="I87" s="8">
        <f t="shared" si="18"/>
        <v>5.3612196486611747</v>
      </c>
      <c r="J87" s="8">
        <f t="shared" si="16"/>
        <v>1000</v>
      </c>
      <c r="K87" s="8">
        <f t="shared" si="17"/>
        <v>1.5772112127940032</v>
      </c>
      <c r="L87" s="8">
        <f t="shared" si="12"/>
        <v>50</v>
      </c>
      <c r="M87" s="8">
        <f t="shared" si="13"/>
        <v>78.860560639700168</v>
      </c>
      <c r="N87" s="8">
        <f t="shared" si="10"/>
        <v>0.78860560639700172</v>
      </c>
      <c r="O87" s="8"/>
      <c r="P87" s="8"/>
      <c r="Q87" s="8"/>
      <c r="R87" s="8"/>
      <c r="S87" s="8"/>
    </row>
    <row r="88" spans="1:19" s="5" customFormat="1" ht="13.2" x14ac:dyDescent="0.3">
      <c r="A88" s="6"/>
      <c r="E88" s="5">
        <v>86</v>
      </c>
      <c r="F88" s="5">
        <f t="shared" si="11"/>
        <v>86</v>
      </c>
      <c r="G88" s="8">
        <f t="shared" si="14"/>
        <v>0</v>
      </c>
      <c r="H88" s="8">
        <f t="shared" si="15"/>
        <v>628.66927156786824</v>
      </c>
      <c r="I88" s="8">
        <f t="shared" si="18"/>
        <v>5.1467708627147291</v>
      </c>
      <c r="J88" s="8">
        <f t="shared" si="16"/>
        <v>1000</v>
      </c>
      <c r="K88" s="8">
        <f t="shared" si="17"/>
        <v>1.5906614896351661</v>
      </c>
      <c r="L88" s="8">
        <f t="shared" si="12"/>
        <v>50</v>
      </c>
      <c r="M88" s="8">
        <f t="shared" si="13"/>
        <v>79.533074481758305</v>
      </c>
      <c r="N88" s="8">
        <f t="shared" si="10"/>
        <v>0.79533074481758304</v>
      </c>
      <c r="O88" s="8"/>
      <c r="P88" s="8"/>
      <c r="Q88" s="8"/>
      <c r="R88" s="8"/>
      <c r="S88" s="8"/>
    </row>
    <row r="89" spans="1:19" s="5" customFormat="1" ht="13.2" x14ac:dyDescent="0.3">
      <c r="A89" s="6"/>
      <c r="E89" s="5">
        <v>87</v>
      </c>
      <c r="F89" s="5">
        <f t="shared" si="11"/>
        <v>87</v>
      </c>
      <c r="G89" s="8">
        <f t="shared" si="14"/>
        <v>13.585588261165718</v>
      </c>
      <c r="H89" s="8">
        <f t="shared" si="15"/>
        <v>623.52250070515356</v>
      </c>
      <c r="I89" s="8">
        <f t="shared" si="18"/>
        <v>0</v>
      </c>
      <c r="J89" s="8">
        <f t="shared" si="16"/>
        <v>1600</v>
      </c>
      <c r="K89" s="8">
        <f t="shared" si="17"/>
        <v>2.5660661775485716</v>
      </c>
      <c r="L89" s="8">
        <f t="shared" si="12"/>
        <v>50</v>
      </c>
      <c r="M89" s="8">
        <f t="shared" si="13"/>
        <v>128.30330887742858</v>
      </c>
      <c r="N89" s="8">
        <f t="shared" si="10"/>
        <v>1.2830330887742858</v>
      </c>
      <c r="O89" s="8"/>
      <c r="P89" s="8"/>
      <c r="Q89" s="8"/>
      <c r="R89" s="8"/>
      <c r="S89" s="8"/>
    </row>
    <row r="90" spans="1:19" s="5" customFormat="1" ht="13.2" x14ac:dyDescent="0.3">
      <c r="A90" s="6"/>
      <c r="E90" s="5">
        <v>88</v>
      </c>
      <c r="F90" s="5">
        <f t="shared" si="11"/>
        <v>88</v>
      </c>
      <c r="G90" s="8">
        <f t="shared" si="14"/>
        <v>0</v>
      </c>
      <c r="H90" s="8">
        <f t="shared" si="15"/>
        <v>637.10808896631931</v>
      </c>
      <c r="I90" s="8">
        <f t="shared" si="18"/>
        <v>5.4843235586527737</v>
      </c>
      <c r="J90" s="8">
        <f t="shared" si="16"/>
        <v>1000</v>
      </c>
      <c r="K90" s="8">
        <f t="shared" si="17"/>
        <v>1.5695923773663858</v>
      </c>
      <c r="L90" s="8">
        <f t="shared" si="12"/>
        <v>50</v>
      </c>
      <c r="M90" s="8">
        <f t="shared" si="13"/>
        <v>78.479618868319292</v>
      </c>
      <c r="N90" s="8">
        <f t="shared" si="10"/>
        <v>0.7847961886831929</v>
      </c>
      <c r="O90" s="8"/>
      <c r="P90" s="8"/>
      <c r="Q90" s="8"/>
      <c r="R90" s="8"/>
      <c r="S90" s="8"/>
    </row>
    <row r="91" spans="1:19" s="5" customFormat="1" ht="13.2" x14ac:dyDescent="0.3">
      <c r="A91" s="6"/>
      <c r="E91" s="5">
        <v>89</v>
      </c>
      <c r="F91" s="5">
        <f t="shared" si="11"/>
        <v>89</v>
      </c>
      <c r="G91" s="8">
        <f t="shared" si="14"/>
        <v>0</v>
      </c>
      <c r="H91" s="8">
        <f t="shared" si="15"/>
        <v>631.6237654076665</v>
      </c>
      <c r="I91" s="8">
        <f t="shared" si="18"/>
        <v>5.2649506163066597</v>
      </c>
      <c r="J91" s="8">
        <f t="shared" si="16"/>
        <v>1000</v>
      </c>
      <c r="K91" s="8">
        <f t="shared" si="17"/>
        <v>1.5832209849712888</v>
      </c>
      <c r="L91" s="8">
        <f t="shared" si="12"/>
        <v>50</v>
      </c>
      <c r="M91" s="8">
        <f t="shared" si="13"/>
        <v>79.161049248564439</v>
      </c>
      <c r="N91" s="8">
        <f t="shared" si="10"/>
        <v>0.79161049248564441</v>
      </c>
      <c r="O91" s="8"/>
      <c r="P91" s="8"/>
      <c r="Q91" s="8"/>
      <c r="R91" s="8"/>
      <c r="S91" s="8"/>
    </row>
    <row r="92" spans="1:19" s="5" customFormat="1" ht="13.2" x14ac:dyDescent="0.3">
      <c r="A92" s="6"/>
      <c r="E92" s="5">
        <v>90</v>
      </c>
      <c r="F92" s="5">
        <f t="shared" si="11"/>
        <v>90</v>
      </c>
      <c r="G92" s="8">
        <f t="shared" si="14"/>
        <v>13.306712850829829</v>
      </c>
      <c r="H92" s="8">
        <f t="shared" si="15"/>
        <v>626.3588147913598</v>
      </c>
      <c r="I92" s="8">
        <f t="shared" si="18"/>
        <v>0</v>
      </c>
      <c r="J92" s="8">
        <f t="shared" si="16"/>
        <v>1600</v>
      </c>
      <c r="K92" s="8">
        <f t="shared" si="17"/>
        <v>2.5544463687845762</v>
      </c>
      <c r="L92" s="8">
        <f t="shared" si="12"/>
        <v>50</v>
      </c>
      <c r="M92" s="8">
        <f t="shared" si="13"/>
        <v>127.72231843922881</v>
      </c>
      <c r="N92" s="8">
        <f t="shared" si="10"/>
        <v>1.2772231843922881</v>
      </c>
      <c r="O92" s="8"/>
      <c r="P92" s="8"/>
      <c r="Q92" s="8"/>
      <c r="R92" s="8"/>
      <c r="S92" s="8"/>
    </row>
    <row r="93" spans="1:19" s="5" customFormat="1" ht="13.2" x14ac:dyDescent="0.3">
      <c r="A93" s="6"/>
      <c r="E93" s="5">
        <v>91</v>
      </c>
      <c r="F93" s="5">
        <f t="shared" si="11"/>
        <v>91</v>
      </c>
      <c r="G93" s="8">
        <f t="shared" si="14"/>
        <v>0</v>
      </c>
      <c r="H93" s="8">
        <f t="shared" si="15"/>
        <v>639.66552764218966</v>
      </c>
      <c r="I93" s="8">
        <f t="shared" si="18"/>
        <v>17.586621105687584</v>
      </c>
      <c r="J93" s="8">
        <f t="shared" si="16"/>
        <v>400</v>
      </c>
      <c r="K93" s="8">
        <f t="shared" si="17"/>
        <v>0.62532680395393825</v>
      </c>
      <c r="L93" s="8">
        <f t="shared" si="12"/>
        <v>50</v>
      </c>
      <c r="M93" s="8">
        <f t="shared" si="13"/>
        <v>31.266340197696913</v>
      </c>
      <c r="N93" s="8">
        <f t="shared" si="10"/>
        <v>0.31266340197696912</v>
      </c>
      <c r="O93" s="8"/>
      <c r="P93" s="8"/>
      <c r="Q93" s="8"/>
      <c r="R93" s="8"/>
      <c r="S93" s="8"/>
    </row>
    <row r="94" spans="1:19" s="5" customFormat="1" ht="13.2" x14ac:dyDescent="0.3">
      <c r="A94" s="6"/>
      <c r="E94" s="5">
        <v>92</v>
      </c>
      <c r="F94" s="5">
        <f t="shared" si="11"/>
        <v>92</v>
      </c>
      <c r="G94" s="8">
        <f t="shared" si="14"/>
        <v>0</v>
      </c>
      <c r="H94" s="8">
        <f t="shared" si="15"/>
        <v>622.07890653650202</v>
      </c>
      <c r="I94" s="8">
        <f t="shared" si="18"/>
        <v>4.8831562614600799</v>
      </c>
      <c r="J94" s="8">
        <f t="shared" si="16"/>
        <v>1000</v>
      </c>
      <c r="K94" s="8">
        <f t="shared" si="17"/>
        <v>1.6075131136781642</v>
      </c>
      <c r="L94" s="8">
        <f t="shared" si="12"/>
        <v>50</v>
      </c>
      <c r="M94" s="8">
        <f t="shared" si="13"/>
        <v>80.375655683908207</v>
      </c>
      <c r="N94" s="8">
        <f t="shared" si="10"/>
        <v>0.80375655683908209</v>
      </c>
      <c r="O94" s="8"/>
      <c r="P94" s="8"/>
      <c r="Q94" s="8"/>
      <c r="R94" s="8"/>
      <c r="S94" s="8"/>
    </row>
    <row r="95" spans="1:19" s="5" customFormat="1" ht="13.2" x14ac:dyDescent="0.3">
      <c r="A95" s="6"/>
      <c r="E95" s="5">
        <v>93</v>
      </c>
      <c r="F95" s="5">
        <f t="shared" si="11"/>
        <v>93</v>
      </c>
      <c r="G95" s="8">
        <f t="shared" si="14"/>
        <v>14.21688983258187</v>
      </c>
      <c r="H95" s="8">
        <f t="shared" si="15"/>
        <v>617.19575027504197</v>
      </c>
      <c r="I95" s="8">
        <f t="shared" si="18"/>
        <v>0</v>
      </c>
      <c r="J95" s="8">
        <f t="shared" si="16"/>
        <v>1600</v>
      </c>
      <c r="K95" s="8">
        <f t="shared" si="17"/>
        <v>2.5923704096909113</v>
      </c>
      <c r="L95" s="8">
        <f t="shared" si="12"/>
        <v>50</v>
      </c>
      <c r="M95" s="8">
        <f t="shared" si="13"/>
        <v>129.61852048454557</v>
      </c>
      <c r="N95" s="8">
        <f t="shared" si="10"/>
        <v>1.2961852048454556</v>
      </c>
      <c r="O95" s="8"/>
      <c r="P95" s="8"/>
      <c r="Q95" s="8"/>
      <c r="R95" s="8"/>
      <c r="S95" s="8"/>
    </row>
    <row r="96" spans="1:19" s="5" customFormat="1" ht="13.2" x14ac:dyDescent="0.3">
      <c r="A96" s="6"/>
      <c r="E96" s="5">
        <v>94</v>
      </c>
      <c r="F96" s="5">
        <f t="shared" si="11"/>
        <v>94</v>
      </c>
      <c r="G96" s="8">
        <f t="shared" si="14"/>
        <v>0</v>
      </c>
      <c r="H96" s="8">
        <f t="shared" si="15"/>
        <v>631.41264010762382</v>
      </c>
      <c r="I96" s="8">
        <f t="shared" si="18"/>
        <v>5.2565056043049525</v>
      </c>
      <c r="J96" s="8">
        <f t="shared" si="16"/>
        <v>1000</v>
      </c>
      <c r="K96" s="8">
        <f t="shared" si="17"/>
        <v>1.5837503662098857</v>
      </c>
      <c r="L96" s="8">
        <f t="shared" si="12"/>
        <v>50</v>
      </c>
      <c r="M96" s="8">
        <f t="shared" si="13"/>
        <v>79.187518310494283</v>
      </c>
      <c r="N96" s="8">
        <f t="shared" si="10"/>
        <v>0.79187518310494287</v>
      </c>
      <c r="O96" s="8"/>
      <c r="P96" s="8"/>
      <c r="Q96" s="8"/>
      <c r="R96" s="8"/>
      <c r="S96" s="8"/>
    </row>
    <row r="97" spans="1:19" s="5" customFormat="1" ht="13.2" x14ac:dyDescent="0.3">
      <c r="A97" s="6"/>
      <c r="E97" s="5">
        <v>95</v>
      </c>
      <c r="F97" s="5">
        <f t="shared" si="11"/>
        <v>95</v>
      </c>
      <c r="G97" s="8">
        <f t="shared" si="14"/>
        <v>0</v>
      </c>
      <c r="H97" s="8">
        <f t="shared" si="15"/>
        <v>626.15613450331887</v>
      </c>
      <c r="I97" s="8">
        <f t="shared" si="18"/>
        <v>5.0462453801327509</v>
      </c>
      <c r="J97" s="8">
        <f t="shared" si="16"/>
        <v>1000</v>
      </c>
      <c r="K97" s="8">
        <f t="shared" si="17"/>
        <v>1.5970457604687087</v>
      </c>
      <c r="L97" s="8">
        <f t="shared" si="12"/>
        <v>50.000000000000014</v>
      </c>
      <c r="M97" s="8">
        <f t="shared" si="13"/>
        <v>79.852288023435463</v>
      </c>
      <c r="N97" s="8">
        <f t="shared" si="10"/>
        <v>0.79852288023435458</v>
      </c>
      <c r="O97" s="8"/>
      <c r="P97" s="8"/>
      <c r="Q97" s="8"/>
      <c r="R97" s="8"/>
      <c r="S97" s="8"/>
    </row>
    <row r="98" spans="1:19" s="5" customFormat="1" ht="13.2" x14ac:dyDescent="0.3">
      <c r="A98" s="6"/>
      <c r="E98" s="5">
        <v>96</v>
      </c>
      <c r="F98" s="5">
        <f t="shared" si="11"/>
        <v>96</v>
      </c>
      <c r="G98" s="8">
        <f t="shared" si="14"/>
        <v>13.824808576480482</v>
      </c>
      <c r="H98" s="8">
        <f t="shared" si="15"/>
        <v>621.10988912318612</v>
      </c>
      <c r="I98" s="8">
        <f t="shared" si="18"/>
        <v>0</v>
      </c>
      <c r="J98" s="8">
        <f t="shared" si="16"/>
        <v>1600</v>
      </c>
      <c r="K98" s="8">
        <f t="shared" si="17"/>
        <v>2.5760336906866868</v>
      </c>
      <c r="L98" s="8">
        <f t="shared" si="12"/>
        <v>50</v>
      </c>
      <c r="M98" s="8">
        <f t="shared" si="13"/>
        <v>128.80168453433433</v>
      </c>
      <c r="N98" s="8">
        <f t="shared" si="10"/>
        <v>1.2880168453433434</v>
      </c>
      <c r="O98" s="8"/>
      <c r="P98" s="8"/>
      <c r="Q98" s="8"/>
      <c r="R98" s="8"/>
      <c r="S98" s="8"/>
    </row>
    <row r="99" spans="1:19" s="5" customFormat="1" ht="13.2" x14ac:dyDescent="0.3">
      <c r="A99" s="6"/>
      <c r="E99" s="5">
        <v>97</v>
      </c>
      <c r="F99" s="5">
        <f t="shared" si="11"/>
        <v>97</v>
      </c>
      <c r="G99" s="8">
        <f t="shared" si="14"/>
        <v>0</v>
      </c>
      <c r="H99" s="8">
        <f t="shared" si="15"/>
        <v>634.93469769966657</v>
      </c>
      <c r="I99" s="8">
        <f t="shared" si="18"/>
        <v>5.3973879079866656</v>
      </c>
      <c r="J99" s="8">
        <f t="shared" si="16"/>
        <v>1000</v>
      </c>
      <c r="K99" s="8">
        <f t="shared" si="17"/>
        <v>1.5749651162913996</v>
      </c>
      <c r="L99" s="8">
        <f t="shared" si="12"/>
        <v>50</v>
      </c>
      <c r="M99" s="8">
        <f t="shared" si="13"/>
        <v>78.748255814569973</v>
      </c>
      <c r="N99" s="8">
        <f t="shared" si="10"/>
        <v>0.78748255814569967</v>
      </c>
      <c r="O99" s="8"/>
      <c r="P99" s="8"/>
      <c r="Q99" s="8"/>
      <c r="R99" s="8"/>
      <c r="S99" s="8"/>
    </row>
    <row r="100" spans="1:19" s="5" customFormat="1" ht="13.2" x14ac:dyDescent="0.3">
      <c r="A100" s="6"/>
      <c r="E100" s="5">
        <v>98</v>
      </c>
      <c r="F100" s="5">
        <f t="shared" si="11"/>
        <v>98</v>
      </c>
      <c r="G100" s="8">
        <f t="shared" si="14"/>
        <v>0</v>
      </c>
      <c r="H100" s="8">
        <f t="shared" si="15"/>
        <v>629.53730979167995</v>
      </c>
      <c r="I100" s="8">
        <f t="shared" si="18"/>
        <v>17.181492391667199</v>
      </c>
      <c r="J100" s="8">
        <f t="shared" si="16"/>
        <v>400</v>
      </c>
      <c r="K100" s="8">
        <f t="shared" si="17"/>
        <v>0.63538728170434233</v>
      </c>
      <c r="L100" s="8">
        <f t="shared" si="12"/>
        <v>50</v>
      </c>
      <c r="M100" s="8">
        <f t="shared" si="13"/>
        <v>31.769364085217116</v>
      </c>
      <c r="N100" s="8">
        <f t="shared" si="10"/>
        <v>0.31769364085217117</v>
      </c>
      <c r="O100" s="8"/>
      <c r="P100" s="8"/>
      <c r="Q100" s="8"/>
      <c r="R100" s="8"/>
      <c r="S100" s="8"/>
    </row>
    <row r="101" spans="1:19" s="5" customFormat="1" ht="13.2" x14ac:dyDescent="0.3">
      <c r="A101" s="6"/>
      <c r="E101" s="5">
        <v>99</v>
      </c>
      <c r="F101" s="5">
        <f t="shared" si="11"/>
        <v>99</v>
      </c>
      <c r="G101" s="8">
        <f t="shared" si="14"/>
        <v>14.708639174919025</v>
      </c>
      <c r="H101" s="8">
        <f t="shared" si="15"/>
        <v>612.35581740001271</v>
      </c>
      <c r="I101" s="8">
        <f t="shared" si="18"/>
        <v>0</v>
      </c>
      <c r="J101" s="8">
        <f t="shared" si="16"/>
        <v>1600</v>
      </c>
      <c r="K101" s="8">
        <f t="shared" si="17"/>
        <v>2.612859965621626</v>
      </c>
      <c r="L101" s="8">
        <f t="shared" si="12"/>
        <v>50</v>
      </c>
      <c r="M101" s="8">
        <f t="shared" si="13"/>
        <v>130.6429982810813</v>
      </c>
      <c r="N101" s="8">
        <f t="shared" si="10"/>
        <v>1.306429982810813</v>
      </c>
      <c r="O101" s="8"/>
      <c r="P101" s="8"/>
      <c r="Q101" s="8"/>
      <c r="R101" s="8"/>
      <c r="S101" s="8"/>
    </row>
    <row r="102" spans="1:19" s="5" customFormat="1" ht="13.2" x14ac:dyDescent="0.3">
      <c r="A102" s="6"/>
      <c r="E102" s="5">
        <v>100</v>
      </c>
      <c r="F102" s="5">
        <f t="shared" si="11"/>
        <v>100</v>
      </c>
      <c r="G102" s="8">
        <f t="shared" si="14"/>
        <v>0</v>
      </c>
      <c r="H102" s="8">
        <f t="shared" si="15"/>
        <v>627.06445657493168</v>
      </c>
      <c r="I102" s="8">
        <f t="shared" si="18"/>
        <v>5.0825782629972638</v>
      </c>
      <c r="J102" s="8">
        <f t="shared" si="16"/>
        <v>1000</v>
      </c>
      <c r="K102" s="8">
        <f t="shared" si="17"/>
        <v>1.5947323907689928</v>
      </c>
      <c r="L102" s="8">
        <f t="shared" si="12"/>
        <v>50</v>
      </c>
      <c r="M102" s="8">
        <f t="shared" si="13"/>
        <v>79.736619538449645</v>
      </c>
      <c r="N102" s="8">
        <f t="shared" si="10"/>
        <v>0.79736619538449649</v>
      </c>
    </row>
    <row r="103" spans="1:19" s="5" customFormat="1" ht="13.2" x14ac:dyDescent="0.3">
      <c r="A103" s="6"/>
      <c r="E103" s="5">
        <v>101</v>
      </c>
      <c r="F103" s="5">
        <f t="shared" si="11"/>
        <v>101</v>
      </c>
      <c r="G103" s="8">
        <f t="shared" si="14"/>
        <v>0</v>
      </c>
      <c r="H103" s="8">
        <f t="shared" si="15"/>
        <v>621.98187831193445</v>
      </c>
      <c r="I103" s="8">
        <f t="shared" si="18"/>
        <v>4.8792751324773809</v>
      </c>
      <c r="J103" s="8">
        <f t="shared" si="16"/>
        <v>1000</v>
      </c>
      <c r="K103" s="8">
        <f t="shared" si="17"/>
        <v>1.6077638832726298</v>
      </c>
      <c r="L103" s="8">
        <f t="shared" si="12"/>
        <v>50</v>
      </c>
      <c r="M103" s="8">
        <f t="shared" si="13"/>
        <v>80.388194163631482</v>
      </c>
      <c r="N103" s="8">
        <f t="shared" si="10"/>
        <v>0.80388194163631477</v>
      </c>
    </row>
    <row r="104" spans="1:19" s="5" customFormat="1" ht="13.2" x14ac:dyDescent="0.3">
      <c r="A104" s="6"/>
      <c r="E104" s="5">
        <v>102</v>
      </c>
      <c r="F104" s="5">
        <f t="shared" si="11"/>
        <v>102</v>
      </c>
      <c r="G104" s="8">
        <f t="shared" si="14"/>
        <v>14.226281014136411</v>
      </c>
      <c r="H104" s="8">
        <f t="shared" si="15"/>
        <v>617.10260317945711</v>
      </c>
      <c r="I104" s="8">
        <f t="shared" si="18"/>
        <v>0</v>
      </c>
      <c r="J104" s="8">
        <f t="shared" si="16"/>
        <v>1600</v>
      </c>
      <c r="K104" s="8">
        <f t="shared" si="17"/>
        <v>2.59276170892235</v>
      </c>
      <c r="L104" s="8">
        <f t="shared" si="12"/>
        <v>50</v>
      </c>
      <c r="M104" s="8">
        <f t="shared" si="13"/>
        <v>129.63808544611751</v>
      </c>
      <c r="N104" s="8">
        <f t="shared" si="10"/>
        <v>1.2963808544611752</v>
      </c>
    </row>
    <row r="105" spans="1:19" s="5" customFormat="1" ht="13.2" x14ac:dyDescent="0.3">
      <c r="A105" s="6"/>
      <c r="E105" s="5">
        <v>103</v>
      </c>
      <c r="F105" s="5">
        <f t="shared" si="11"/>
        <v>103</v>
      </c>
      <c r="G105" s="8">
        <f t="shared" si="14"/>
        <v>0</v>
      </c>
      <c r="H105" s="8">
        <f t="shared" si="15"/>
        <v>631.32888419359347</v>
      </c>
      <c r="I105" s="8">
        <f t="shared" si="18"/>
        <v>5.2531553677437373</v>
      </c>
      <c r="J105" s="8">
        <f t="shared" si="16"/>
        <v>1000</v>
      </c>
      <c r="K105" s="8">
        <f t="shared" si="17"/>
        <v>1.583960476126981</v>
      </c>
      <c r="L105" s="8">
        <f t="shared" si="12"/>
        <v>50</v>
      </c>
      <c r="M105" s="8">
        <f t="shared" si="13"/>
        <v>79.198023806349056</v>
      </c>
      <c r="N105" s="8">
        <f t="shared" si="10"/>
        <v>0.7919802380634906</v>
      </c>
    </row>
    <row r="106" spans="1:19" s="5" customFormat="1" ht="13.2" x14ac:dyDescent="0.3">
      <c r="A106" s="6"/>
      <c r="E106" s="5">
        <v>104</v>
      </c>
      <c r="F106" s="5">
        <f t="shared" si="11"/>
        <v>104</v>
      </c>
      <c r="G106" s="8">
        <f t="shared" si="14"/>
        <v>0</v>
      </c>
      <c r="H106" s="8">
        <f t="shared" si="15"/>
        <v>626.07572882584975</v>
      </c>
      <c r="I106" s="8">
        <f t="shared" si="18"/>
        <v>5.0430291530339897</v>
      </c>
      <c r="J106" s="8">
        <f t="shared" si="16"/>
        <v>1000</v>
      </c>
      <c r="K106" s="8">
        <f t="shared" si="17"/>
        <v>1.5972508659222624</v>
      </c>
      <c r="L106" s="8">
        <f t="shared" si="12"/>
        <v>50</v>
      </c>
      <c r="M106" s="8">
        <f t="shared" si="13"/>
        <v>79.862543296113117</v>
      </c>
      <c r="N106" s="8">
        <f t="shared" si="10"/>
        <v>0.7986254329611312</v>
      </c>
    </row>
    <row r="107" spans="1:19" s="5" customFormat="1" ht="13.2" x14ac:dyDescent="0.3">
      <c r="A107" s="6"/>
      <c r="E107" s="5">
        <v>105</v>
      </c>
      <c r="F107" s="5">
        <f t="shared" si="11"/>
        <v>105</v>
      </c>
      <c r="G107" s="8">
        <f t="shared" si="14"/>
        <v>13.8324929109701</v>
      </c>
      <c r="H107" s="8">
        <f t="shared" si="15"/>
        <v>621.03269967281574</v>
      </c>
      <c r="I107" s="8">
        <f t="shared" si="18"/>
        <v>0</v>
      </c>
      <c r="J107" s="8">
        <f t="shared" si="16"/>
        <v>1600</v>
      </c>
      <c r="K107" s="8">
        <f t="shared" si="17"/>
        <v>2.5763538712904208</v>
      </c>
      <c r="L107" s="8">
        <f t="shared" si="12"/>
        <v>50</v>
      </c>
      <c r="M107" s="8">
        <f t="shared" si="13"/>
        <v>128.81769356452105</v>
      </c>
      <c r="N107" s="8">
        <f t="shared" si="10"/>
        <v>1.2881769356452104</v>
      </c>
    </row>
    <row r="108" spans="1:19" s="5" customFormat="1" ht="13.2" x14ac:dyDescent="0.3">
      <c r="A108" s="6"/>
      <c r="E108" s="5">
        <v>106</v>
      </c>
      <c r="F108" s="5">
        <f t="shared" si="11"/>
        <v>106</v>
      </c>
      <c r="G108" s="8">
        <f t="shared" si="14"/>
        <v>0</v>
      </c>
      <c r="H108" s="8">
        <f t="shared" si="15"/>
        <v>634.86519258378587</v>
      </c>
      <c r="I108" s="8">
        <f t="shared" si="18"/>
        <v>5.3946077033514346</v>
      </c>
      <c r="J108" s="8">
        <f t="shared" si="16"/>
        <v>1000</v>
      </c>
      <c r="K108" s="8">
        <f t="shared" si="17"/>
        <v>1.5751375436573896</v>
      </c>
      <c r="L108" s="8">
        <f t="shared" si="12"/>
        <v>50</v>
      </c>
      <c r="M108" s="8">
        <f t="shared" si="13"/>
        <v>78.756877182869474</v>
      </c>
      <c r="N108" s="8">
        <f t="shared" si="10"/>
        <v>0.78756877182869478</v>
      </c>
    </row>
    <row r="109" spans="1:19" s="5" customFormat="1" ht="13.2" x14ac:dyDescent="0.3">
      <c r="A109" s="6"/>
      <c r="E109" s="5">
        <v>107</v>
      </c>
      <c r="F109" s="5">
        <f t="shared" si="11"/>
        <v>107</v>
      </c>
      <c r="G109" s="8">
        <f t="shared" si="14"/>
        <v>0</v>
      </c>
      <c r="H109" s="8">
        <f t="shared" si="15"/>
        <v>629.47058488043444</v>
      </c>
      <c r="I109" s="8">
        <f t="shared" si="18"/>
        <v>5.1788233952173739</v>
      </c>
      <c r="J109" s="8">
        <f t="shared" si="16"/>
        <v>1000</v>
      </c>
      <c r="K109" s="8">
        <f t="shared" si="17"/>
        <v>1.5886365844878141</v>
      </c>
      <c r="L109" s="8">
        <f t="shared" si="12"/>
        <v>50</v>
      </c>
      <c r="M109" s="8">
        <f t="shared" si="13"/>
        <v>79.431829224390711</v>
      </c>
      <c r="N109" s="8">
        <f t="shared" si="10"/>
        <v>0.79431829224390715</v>
      </c>
    </row>
    <row r="110" spans="1:19" s="5" customFormat="1" ht="13.2" x14ac:dyDescent="0.3">
      <c r="A110" s="6"/>
      <c r="E110" s="5">
        <v>108</v>
      </c>
      <c r="F110" s="5">
        <f t="shared" si="11"/>
        <v>108</v>
      </c>
      <c r="G110" s="8">
        <f t="shared" si="14"/>
        <v>13.509701663601557</v>
      </c>
      <c r="H110" s="8">
        <f t="shared" si="15"/>
        <v>624.29176148521708</v>
      </c>
      <c r="I110" s="8">
        <f t="shared" si="18"/>
        <v>0</v>
      </c>
      <c r="J110" s="8">
        <f t="shared" si="16"/>
        <v>1600</v>
      </c>
      <c r="K110" s="8">
        <f t="shared" si="17"/>
        <v>2.5629042359833978</v>
      </c>
      <c r="L110" s="8">
        <f t="shared" si="12"/>
        <v>50.000000000000014</v>
      </c>
      <c r="M110" s="8">
        <f t="shared" si="13"/>
        <v>128.14521179916991</v>
      </c>
      <c r="N110" s="8">
        <f t="shared" si="10"/>
        <v>1.2814521179916991</v>
      </c>
    </row>
    <row r="111" spans="1:19" s="5" customFormat="1" ht="13.2" x14ac:dyDescent="0.3">
      <c r="A111" s="6"/>
      <c r="E111" s="5">
        <v>109</v>
      </c>
      <c r="F111" s="5">
        <f t="shared" si="11"/>
        <v>109</v>
      </c>
      <c r="G111" s="8">
        <f t="shared" si="14"/>
        <v>0</v>
      </c>
      <c r="H111" s="8">
        <f t="shared" si="15"/>
        <v>637.80146314881858</v>
      </c>
      <c r="I111" s="8">
        <f t="shared" si="18"/>
        <v>5.5120585259527441</v>
      </c>
      <c r="J111" s="8">
        <f t="shared" si="16"/>
        <v>1000</v>
      </c>
      <c r="K111" s="8">
        <f t="shared" si="17"/>
        <v>1.5678860237526131</v>
      </c>
      <c r="L111" s="8">
        <f t="shared" si="12"/>
        <v>50</v>
      </c>
      <c r="M111" s="8">
        <f t="shared" si="13"/>
        <v>78.39430118763066</v>
      </c>
      <c r="N111" s="8">
        <f t="shared" si="10"/>
        <v>0.78394301187630655</v>
      </c>
    </row>
    <row r="112" spans="1:19" s="5" customFormat="1" ht="13.2" x14ac:dyDescent="0.3">
      <c r="A112" s="6"/>
      <c r="E112" s="5">
        <v>110</v>
      </c>
      <c r="F112" s="5">
        <f t="shared" si="11"/>
        <v>110</v>
      </c>
      <c r="G112" s="8">
        <f t="shared" si="14"/>
        <v>0</v>
      </c>
      <c r="H112" s="8">
        <f t="shared" si="15"/>
        <v>632.28940462286585</v>
      </c>
      <c r="I112" s="8">
        <f t="shared" si="18"/>
        <v>5.291576184914633</v>
      </c>
      <c r="J112" s="8">
        <f t="shared" si="16"/>
        <v>1000</v>
      </c>
      <c r="K112" s="8">
        <f t="shared" si="17"/>
        <v>1.5815542577318027</v>
      </c>
      <c r="L112" s="8">
        <f t="shared" si="12"/>
        <v>50</v>
      </c>
      <c r="M112" s="8">
        <f t="shared" si="13"/>
        <v>79.077712886590135</v>
      </c>
      <c r="N112" s="8">
        <f t="shared" si="10"/>
        <v>0.79077712886590135</v>
      </c>
    </row>
    <row r="113" spans="1:14" s="5" customFormat="1" ht="13.2" x14ac:dyDescent="0.3">
      <c r="A113" s="6"/>
      <c r="E113" s="5">
        <v>111</v>
      </c>
      <c r="F113" s="5">
        <f t="shared" si="11"/>
        <v>111</v>
      </c>
      <c r="G113" s="8">
        <f t="shared" si="14"/>
        <v>13.244231253027593</v>
      </c>
      <c r="H113" s="8">
        <f t="shared" si="15"/>
        <v>626.99782843795117</v>
      </c>
      <c r="I113" s="8">
        <f t="shared" si="18"/>
        <v>0</v>
      </c>
      <c r="J113" s="8">
        <f t="shared" si="16"/>
        <v>1600</v>
      </c>
      <c r="K113" s="8">
        <f t="shared" si="17"/>
        <v>2.5518429688761497</v>
      </c>
      <c r="L113" s="8">
        <f t="shared" si="12"/>
        <v>50</v>
      </c>
      <c r="M113" s="8">
        <f t="shared" si="13"/>
        <v>127.59214844380749</v>
      </c>
      <c r="N113" s="8">
        <f t="shared" si="10"/>
        <v>1.2759214844380748</v>
      </c>
    </row>
    <row r="114" spans="1:14" s="5" customFormat="1" ht="13.2" x14ac:dyDescent="0.3">
      <c r="A114" s="6"/>
      <c r="E114" s="5">
        <v>112</v>
      </c>
      <c r="F114" s="5">
        <f t="shared" si="11"/>
        <v>112</v>
      </c>
      <c r="G114" s="8">
        <f t="shared" si="14"/>
        <v>0</v>
      </c>
      <c r="H114" s="8">
        <f t="shared" si="15"/>
        <v>640.24205969097875</v>
      </c>
      <c r="I114" s="8">
        <f t="shared" si="18"/>
        <v>17.60968238763915</v>
      </c>
      <c r="J114" s="8">
        <f t="shared" si="16"/>
        <v>400</v>
      </c>
      <c r="K114" s="8">
        <f t="shared" si="17"/>
        <v>0.62476370295488748</v>
      </c>
      <c r="L114" s="8">
        <f t="shared" si="12"/>
        <v>50</v>
      </c>
      <c r="M114" s="8">
        <f t="shared" si="13"/>
        <v>31.238185147744375</v>
      </c>
      <c r="N114" s="8">
        <f t="shared" si="10"/>
        <v>0.31238185147744374</v>
      </c>
    </row>
    <row r="115" spans="1:14" s="5" customFormat="1" ht="13.2" x14ac:dyDescent="0.3">
      <c r="A115" s="6"/>
      <c r="E115" s="5">
        <v>113</v>
      </c>
      <c r="F115" s="5">
        <f t="shared" si="11"/>
        <v>113</v>
      </c>
      <c r="G115" s="8">
        <f t="shared" si="14"/>
        <v>0</v>
      </c>
      <c r="H115" s="8">
        <f t="shared" si="15"/>
        <v>622.63237730333958</v>
      </c>
      <c r="I115" s="8">
        <f t="shared" si="18"/>
        <v>4.9052950921335849</v>
      </c>
      <c r="J115" s="8">
        <f t="shared" si="16"/>
        <v>1000</v>
      </c>
      <c r="K115" s="8">
        <f t="shared" si="17"/>
        <v>1.6060841621039106</v>
      </c>
      <c r="L115" s="8">
        <f t="shared" si="12"/>
        <v>49.999999999999993</v>
      </c>
      <c r="M115" s="8">
        <f t="shared" si="13"/>
        <v>80.304208105195514</v>
      </c>
      <c r="N115" s="8">
        <f t="shared" si="10"/>
        <v>0.80304208105195518</v>
      </c>
    </row>
    <row r="116" spans="1:14" s="5" customFormat="1" ht="13.2" x14ac:dyDescent="0.3">
      <c r="A116" s="6"/>
      <c r="E116" s="5">
        <v>114</v>
      </c>
      <c r="F116" s="5">
        <f t="shared" si="11"/>
        <v>114</v>
      </c>
      <c r="G116" s="8">
        <f t="shared" si="14"/>
        <v>14.163374580476493</v>
      </c>
      <c r="H116" s="8">
        <f t="shared" si="15"/>
        <v>617.72708221120604</v>
      </c>
      <c r="I116" s="8">
        <f t="shared" si="18"/>
        <v>0</v>
      </c>
      <c r="J116" s="8">
        <f t="shared" si="16"/>
        <v>1600</v>
      </c>
      <c r="K116" s="8">
        <f t="shared" si="17"/>
        <v>2.5901406075198539</v>
      </c>
      <c r="L116" s="8">
        <f t="shared" si="12"/>
        <v>50</v>
      </c>
      <c r="M116" s="8">
        <f t="shared" si="13"/>
        <v>129.50703037599268</v>
      </c>
      <c r="N116" s="8">
        <f t="shared" si="10"/>
        <v>1.2950703037599269</v>
      </c>
    </row>
    <row r="117" spans="1:14" s="5" customFormat="1" ht="13.2" x14ac:dyDescent="0.3">
      <c r="A117" s="6"/>
      <c r="E117" s="5">
        <v>115</v>
      </c>
      <c r="F117" s="5">
        <f t="shared" si="11"/>
        <v>115</v>
      </c>
      <c r="G117" s="8">
        <f t="shared" si="14"/>
        <v>0</v>
      </c>
      <c r="H117" s="8">
        <f t="shared" si="15"/>
        <v>631.89045679168248</v>
      </c>
      <c r="I117" s="8">
        <f t="shared" si="18"/>
        <v>5.2756182716672955</v>
      </c>
      <c r="J117" s="8">
        <f t="shared" si="16"/>
        <v>1000</v>
      </c>
      <c r="K117" s="8">
        <f t="shared" si="17"/>
        <v>1.5825527815016101</v>
      </c>
      <c r="L117" s="8">
        <f t="shared" si="12"/>
        <v>50</v>
      </c>
      <c r="M117" s="8">
        <f t="shared" si="13"/>
        <v>79.127639075080509</v>
      </c>
      <c r="N117" s="8">
        <f t="shared" si="10"/>
        <v>0.79127639075080514</v>
      </c>
    </row>
    <row r="118" spans="1:14" s="5" customFormat="1" ht="13.2" x14ac:dyDescent="0.3">
      <c r="A118" s="6"/>
      <c r="E118" s="5">
        <v>116</v>
      </c>
      <c r="F118" s="5">
        <f t="shared" si="11"/>
        <v>116</v>
      </c>
      <c r="G118" s="8">
        <f t="shared" si="14"/>
        <v>0</v>
      </c>
      <c r="H118" s="8">
        <f t="shared" si="15"/>
        <v>626.61483852001516</v>
      </c>
      <c r="I118" s="8">
        <f t="shared" si="18"/>
        <v>5.0645935408006064</v>
      </c>
      <c r="J118" s="8">
        <f t="shared" si="16"/>
        <v>1000</v>
      </c>
      <c r="K118" s="8">
        <f t="shared" si="17"/>
        <v>1.5958766670158551</v>
      </c>
      <c r="L118" s="8">
        <f t="shared" si="12"/>
        <v>50</v>
      </c>
      <c r="M118" s="8">
        <f t="shared" si="13"/>
        <v>79.793833350792752</v>
      </c>
      <c r="N118" s="8">
        <f t="shared" si="10"/>
        <v>0.79793833350792753</v>
      </c>
    </row>
    <row r="119" spans="1:14" s="5" customFormat="1" ht="13.2" x14ac:dyDescent="0.3">
      <c r="A119" s="6"/>
      <c r="E119" s="5">
        <v>117</v>
      </c>
      <c r="F119" s="5">
        <f t="shared" si="11"/>
        <v>117</v>
      </c>
      <c r="G119" s="8">
        <f t="shared" si="14"/>
        <v>13.781006942220976</v>
      </c>
      <c r="H119" s="8">
        <f t="shared" si="15"/>
        <v>621.55024497921454</v>
      </c>
      <c r="I119" s="8">
        <f t="shared" si="18"/>
        <v>0</v>
      </c>
      <c r="J119" s="8">
        <f t="shared" si="16"/>
        <v>1600</v>
      </c>
      <c r="K119" s="8">
        <f t="shared" si="17"/>
        <v>2.5742086225925407</v>
      </c>
      <c r="L119" s="8">
        <f t="shared" si="12"/>
        <v>50</v>
      </c>
      <c r="M119" s="8">
        <f t="shared" si="13"/>
        <v>128.71043112962704</v>
      </c>
      <c r="N119" s="8">
        <f t="shared" si="10"/>
        <v>1.2871043112962703</v>
      </c>
    </row>
    <row r="120" spans="1:14" s="5" customFormat="1" ht="13.2" x14ac:dyDescent="0.3">
      <c r="A120" s="6"/>
      <c r="E120" s="5">
        <v>118</v>
      </c>
      <c r="F120" s="5">
        <f t="shared" si="11"/>
        <v>118</v>
      </c>
      <c r="G120" s="8">
        <f t="shared" si="14"/>
        <v>0</v>
      </c>
      <c r="H120" s="8">
        <f t="shared" si="15"/>
        <v>635.33125192143552</v>
      </c>
      <c r="I120" s="8">
        <f t="shared" si="18"/>
        <v>5.4132500768574223</v>
      </c>
      <c r="J120" s="8">
        <f t="shared" si="16"/>
        <v>1000</v>
      </c>
      <c r="K120" s="8">
        <f t="shared" si="17"/>
        <v>1.5739820715189043</v>
      </c>
      <c r="L120" s="8">
        <f t="shared" si="12"/>
        <v>50</v>
      </c>
      <c r="M120" s="8">
        <f t="shared" si="13"/>
        <v>78.699103575945216</v>
      </c>
      <c r="N120" s="8">
        <f t="shared" si="10"/>
        <v>0.78699103575945217</v>
      </c>
    </row>
    <row r="121" spans="1:14" s="5" customFormat="1" ht="13.2" x14ac:dyDescent="0.3">
      <c r="A121" s="6"/>
      <c r="E121" s="5">
        <v>119</v>
      </c>
      <c r="F121" s="5">
        <f t="shared" si="11"/>
        <v>119</v>
      </c>
      <c r="G121" s="8">
        <f t="shared" si="14"/>
        <v>0</v>
      </c>
      <c r="H121" s="8">
        <f t="shared" si="15"/>
        <v>629.91800184457816</v>
      </c>
      <c r="I121" s="8">
        <f t="shared" si="18"/>
        <v>17.196720073783126</v>
      </c>
      <c r="J121" s="8">
        <f t="shared" si="16"/>
        <v>400</v>
      </c>
      <c r="K121" s="8">
        <f t="shared" si="17"/>
        <v>0.6350032842825365</v>
      </c>
      <c r="L121" s="8">
        <f t="shared" si="12"/>
        <v>50</v>
      </c>
      <c r="M121" s="8">
        <f t="shared" si="13"/>
        <v>31.750164214126826</v>
      </c>
      <c r="N121" s="8">
        <f t="shared" si="10"/>
        <v>0.31750164214126825</v>
      </c>
    </row>
    <row r="122" spans="1:14" s="5" customFormat="1" ht="13.2" x14ac:dyDescent="0.3">
      <c r="A122" s="6"/>
      <c r="E122" s="5">
        <v>120</v>
      </c>
      <c r="F122" s="5">
        <f t="shared" si="11"/>
        <v>120</v>
      </c>
      <c r="G122" s="8">
        <f t="shared" si="14"/>
        <v>14.671235915002139</v>
      </c>
      <c r="H122" s="8">
        <f t="shared" si="15"/>
        <v>612.72128177079503</v>
      </c>
      <c r="I122" s="8">
        <f t="shared" si="18"/>
        <v>0</v>
      </c>
      <c r="J122" s="8">
        <f t="shared" si="16"/>
        <v>1600</v>
      </c>
      <c r="K122" s="8">
        <f t="shared" si="17"/>
        <v>2.6113014964584229</v>
      </c>
      <c r="L122" s="8">
        <f t="shared" si="12"/>
        <v>50</v>
      </c>
      <c r="M122" s="8">
        <f t="shared" si="13"/>
        <v>130.56507482292113</v>
      </c>
      <c r="N122" s="8">
        <f t="shared" si="10"/>
        <v>1.3056507482292112</v>
      </c>
    </row>
    <row r="123" spans="1:14" s="5" customFormat="1" ht="13.2" x14ac:dyDescent="0.3">
      <c r="A123" s="6"/>
      <c r="E123" s="5">
        <v>121</v>
      </c>
      <c r="F123" s="5">
        <f t="shared" si="11"/>
        <v>121</v>
      </c>
      <c r="G123" s="8">
        <f t="shared" si="14"/>
        <v>0</v>
      </c>
      <c r="H123" s="8">
        <f t="shared" si="15"/>
        <v>627.3925176857972</v>
      </c>
      <c r="I123" s="8">
        <f t="shared" si="18"/>
        <v>5.0957007074318845</v>
      </c>
      <c r="J123" s="8">
        <f t="shared" si="16"/>
        <v>1000</v>
      </c>
      <c r="K123" s="8">
        <f t="shared" si="17"/>
        <v>1.5938985113953932</v>
      </c>
      <c r="L123" s="8">
        <f t="shared" si="12"/>
        <v>50</v>
      </c>
      <c r="M123" s="8">
        <f t="shared" si="13"/>
        <v>79.694925569769666</v>
      </c>
      <c r="N123" s="8">
        <f t="shared" si="10"/>
        <v>0.7969492556976967</v>
      </c>
    </row>
    <row r="124" spans="1:14" s="5" customFormat="1" ht="13.2" x14ac:dyDescent="0.3">
      <c r="A124" s="6"/>
      <c r="E124" s="5">
        <v>122</v>
      </c>
      <c r="F124" s="5">
        <f t="shared" si="11"/>
        <v>122</v>
      </c>
      <c r="G124" s="8">
        <f t="shared" si="14"/>
        <v>0</v>
      </c>
      <c r="H124" s="8">
        <f t="shared" si="15"/>
        <v>622.29681697836531</v>
      </c>
      <c r="I124" s="8">
        <f t="shared" si="18"/>
        <v>4.8918726791346128</v>
      </c>
      <c r="J124" s="8">
        <f t="shared" si="16"/>
        <v>1000</v>
      </c>
      <c r="K124" s="8">
        <f t="shared" si="17"/>
        <v>1.606950208833811</v>
      </c>
      <c r="L124" s="8">
        <f t="shared" si="12"/>
        <v>50</v>
      </c>
      <c r="M124" s="8">
        <f t="shared" si="13"/>
        <v>80.347510441690545</v>
      </c>
      <c r="N124" s="8">
        <f t="shared" si="10"/>
        <v>0.80347510441690551</v>
      </c>
    </row>
    <row r="125" spans="1:14" s="5" customFormat="1" ht="13.2" x14ac:dyDescent="0.3">
      <c r="A125" s="6"/>
      <c r="E125" s="5">
        <v>123</v>
      </c>
      <c r="F125" s="5">
        <f t="shared" si="11"/>
        <v>123</v>
      </c>
      <c r="G125" s="8">
        <f t="shared" si="14"/>
        <v>14.195809014106477</v>
      </c>
      <c r="H125" s="8">
        <f t="shared" si="15"/>
        <v>617.40494429923069</v>
      </c>
      <c r="I125" s="8">
        <f t="shared" si="18"/>
        <v>0</v>
      </c>
      <c r="J125" s="8">
        <f t="shared" si="16"/>
        <v>1600</v>
      </c>
      <c r="K125" s="8">
        <f t="shared" si="17"/>
        <v>2.5914920422544365</v>
      </c>
      <c r="L125" s="8">
        <f t="shared" si="12"/>
        <v>50</v>
      </c>
      <c r="M125" s="8">
        <f t="shared" si="13"/>
        <v>129.57460211272183</v>
      </c>
      <c r="N125" s="8">
        <f t="shared" si="10"/>
        <v>1.2957460211272183</v>
      </c>
    </row>
    <row r="126" spans="1:14" s="5" customFormat="1" ht="13.2" x14ac:dyDescent="0.3">
      <c r="A126" s="6"/>
      <c r="E126" s="5">
        <v>124</v>
      </c>
      <c r="F126" s="5">
        <f t="shared" si="11"/>
        <v>124</v>
      </c>
      <c r="G126" s="8">
        <f t="shared" si="14"/>
        <v>0</v>
      </c>
      <c r="H126" s="8">
        <f t="shared" si="15"/>
        <v>631.60075331333712</v>
      </c>
      <c r="I126" s="8">
        <f t="shared" si="18"/>
        <v>5.2640301325334855</v>
      </c>
      <c r="J126" s="8">
        <f t="shared" si="16"/>
        <v>1000</v>
      </c>
      <c r="K126" s="8">
        <f t="shared" si="17"/>
        <v>1.5832786689282177</v>
      </c>
      <c r="L126" s="8">
        <f t="shared" si="12"/>
        <v>50</v>
      </c>
      <c r="M126" s="8">
        <f t="shared" si="13"/>
        <v>79.16393344641088</v>
      </c>
      <c r="N126" s="8">
        <f t="shared" si="10"/>
        <v>0.79163933446410883</v>
      </c>
    </row>
    <row r="127" spans="1:14" s="5" customFormat="1" ht="13.2" x14ac:dyDescent="0.3">
      <c r="A127" s="6"/>
      <c r="E127" s="5">
        <v>125</v>
      </c>
      <c r="F127" s="5">
        <f t="shared" si="11"/>
        <v>125</v>
      </c>
      <c r="G127" s="8">
        <f t="shared" si="14"/>
        <v>0</v>
      </c>
      <c r="H127" s="8">
        <f t="shared" si="15"/>
        <v>626.33672318080369</v>
      </c>
      <c r="I127" s="8">
        <f t="shared" si="18"/>
        <v>5.0534689272321467</v>
      </c>
      <c r="J127" s="8">
        <f t="shared" si="16"/>
        <v>1000</v>
      </c>
      <c r="K127" s="8">
        <f t="shared" si="17"/>
        <v>1.5965852918883243</v>
      </c>
      <c r="L127" s="8">
        <f t="shared" si="12"/>
        <v>50</v>
      </c>
      <c r="M127" s="8">
        <f t="shared" si="13"/>
        <v>79.829264594416216</v>
      </c>
      <c r="N127" s="8">
        <f t="shared" si="10"/>
        <v>0.79829264594416216</v>
      </c>
    </row>
    <row r="128" spans="1:14" s="5" customFormat="1" ht="13.2" x14ac:dyDescent="0.3">
      <c r="A128" s="6"/>
      <c r="E128" s="5">
        <v>126</v>
      </c>
      <c r="F128" s="5">
        <f t="shared" si="11"/>
        <v>126</v>
      </c>
      <c r="G128" s="8">
        <f t="shared" si="14"/>
        <v>13.807556757883212</v>
      </c>
      <c r="H128" s="8">
        <f t="shared" si="15"/>
        <v>621.2832542535715</v>
      </c>
      <c r="I128" s="8">
        <f t="shared" si="18"/>
        <v>0</v>
      </c>
      <c r="J128" s="8">
        <f t="shared" si="16"/>
        <v>1600</v>
      </c>
      <c r="K128" s="8">
        <f t="shared" si="17"/>
        <v>2.5753148649118001</v>
      </c>
      <c r="L128" s="8">
        <f t="shared" si="12"/>
        <v>50</v>
      </c>
      <c r="M128" s="8">
        <f t="shared" si="13"/>
        <v>128.76574324559002</v>
      </c>
      <c r="N128" s="8">
        <f t="shared" si="10"/>
        <v>1.2876574324559003</v>
      </c>
    </row>
    <row r="129" spans="1:14" s="5" customFormat="1" ht="13.2" x14ac:dyDescent="0.3">
      <c r="A129" s="6"/>
      <c r="E129" s="5">
        <v>127</v>
      </c>
      <c r="F129" s="5">
        <f t="shared" si="11"/>
        <v>127</v>
      </c>
      <c r="G129" s="8">
        <f t="shared" si="14"/>
        <v>0</v>
      </c>
      <c r="H129" s="8">
        <f t="shared" si="15"/>
        <v>635.09081101145466</v>
      </c>
      <c r="I129" s="8">
        <f t="shared" si="18"/>
        <v>5.4036324404581828</v>
      </c>
      <c r="J129" s="8">
        <f t="shared" si="16"/>
        <v>1000</v>
      </c>
      <c r="K129" s="8">
        <f t="shared" si="17"/>
        <v>1.5745779700502764</v>
      </c>
      <c r="L129" s="8">
        <f t="shared" si="12"/>
        <v>50</v>
      </c>
      <c r="M129" s="8">
        <f t="shared" si="13"/>
        <v>78.728898502513829</v>
      </c>
      <c r="N129" s="8">
        <f t="shared" si="10"/>
        <v>0.78728898502513833</v>
      </c>
    </row>
    <row r="130" spans="1:14" s="5" customFormat="1" ht="13.2" x14ac:dyDescent="0.3">
      <c r="A130" s="6"/>
      <c r="E130" s="5">
        <v>128</v>
      </c>
      <c r="F130" s="5">
        <f t="shared" si="11"/>
        <v>128</v>
      </c>
      <c r="G130" s="8">
        <f t="shared" si="14"/>
        <v>0</v>
      </c>
      <c r="H130" s="8">
        <f t="shared" si="15"/>
        <v>629.68717857099648</v>
      </c>
      <c r="I130" s="8">
        <f t="shared" si="18"/>
        <v>5.1874871428398608</v>
      </c>
      <c r="J130" s="8">
        <f t="shared" si="16"/>
        <v>1000</v>
      </c>
      <c r="K130" s="8">
        <f t="shared" si="17"/>
        <v>1.5880901406780847</v>
      </c>
      <c r="L130" s="8">
        <f t="shared" si="12"/>
        <v>49.999999999999993</v>
      </c>
      <c r="M130" s="8">
        <f t="shared" si="13"/>
        <v>79.404507033904224</v>
      </c>
      <c r="N130" s="8">
        <f t="shared" ref="N130:N193" si="19">M130/$B$10</f>
        <v>0.79404507033904226</v>
      </c>
    </row>
    <row r="131" spans="1:14" s="5" customFormat="1" ht="13.2" x14ac:dyDescent="0.3">
      <c r="A131" s="6"/>
      <c r="E131" s="5">
        <v>129</v>
      </c>
      <c r="F131" s="5">
        <f t="shared" ref="F131:F194" si="20">E131*$B$2</f>
        <v>129</v>
      </c>
      <c r="G131" s="8">
        <f t="shared" si="14"/>
        <v>13.489221735536425</v>
      </c>
      <c r="H131" s="8">
        <f t="shared" si="15"/>
        <v>624.49969142815667</v>
      </c>
      <c r="I131" s="8">
        <f t="shared" si="18"/>
        <v>0</v>
      </c>
      <c r="J131" s="8">
        <f t="shared" si="16"/>
        <v>1600</v>
      </c>
      <c r="K131" s="8">
        <f t="shared" si="17"/>
        <v>2.5620509056473511</v>
      </c>
      <c r="L131" s="8">
        <f t="shared" ref="L131:L194" si="21">$B$8*(J131/(H131*K131))</f>
        <v>50</v>
      </c>
      <c r="M131" s="8">
        <f t="shared" ref="M131:M194" si="22">K131*L131</f>
        <v>128.10254528236754</v>
      </c>
      <c r="N131" s="8">
        <f t="shared" si="19"/>
        <v>1.2810254528236755</v>
      </c>
    </row>
    <row r="132" spans="1:14" s="5" customFormat="1" ht="13.2" x14ac:dyDescent="0.3">
      <c r="A132" s="6"/>
      <c r="E132" s="5">
        <v>130</v>
      </c>
      <c r="F132" s="5">
        <f t="shared" si="20"/>
        <v>130</v>
      </c>
      <c r="G132" s="8">
        <f t="shared" ref="G132:G195" si="23">MAX(0,IF(N132&gt;=1,J132*$B$4*$B$2*(N132-1),0))</f>
        <v>0</v>
      </c>
      <c r="H132" s="8">
        <f t="shared" ref="H132:H195" si="24">H131+(G131-I131)</f>
        <v>637.98891316369304</v>
      </c>
      <c r="I132" s="8">
        <f t="shared" si="18"/>
        <v>5.5195565265477189</v>
      </c>
      <c r="J132" s="8">
        <f t="shared" ref="J132:J195" si="25">IF(MOD(F132,3)=0,$B$6+$B$6*$B$12,IF(MOD(F132,7)=0,$B$6-$B$6*$B$12,$B$6))</f>
        <v>1000</v>
      </c>
      <c r="K132" s="8">
        <f t="shared" ref="K132:K195" si="26">MIN($B$11,J132/H132)</f>
        <v>1.567425357035042</v>
      </c>
      <c r="L132" s="8">
        <f t="shared" si="21"/>
        <v>50</v>
      </c>
      <c r="M132" s="8">
        <f t="shared" si="22"/>
        <v>78.371267851752108</v>
      </c>
      <c r="N132" s="8">
        <f t="shared" si="19"/>
        <v>0.78371267851752113</v>
      </c>
    </row>
    <row r="133" spans="1:14" s="5" customFormat="1" ht="13.2" x14ac:dyDescent="0.3">
      <c r="A133" s="6"/>
      <c r="E133" s="5">
        <v>131</v>
      </c>
      <c r="F133" s="5">
        <f t="shared" si="20"/>
        <v>131</v>
      </c>
      <c r="G133" s="8">
        <f t="shared" si="23"/>
        <v>0</v>
      </c>
      <c r="H133" s="8">
        <f t="shared" si="24"/>
        <v>632.46935663714532</v>
      </c>
      <c r="I133" s="8">
        <f t="shared" si="18"/>
        <v>5.2987742654858137</v>
      </c>
      <c r="J133" s="8">
        <f t="shared" si="25"/>
        <v>1000</v>
      </c>
      <c r="K133" s="8">
        <f t="shared" si="26"/>
        <v>1.5811042693309663</v>
      </c>
      <c r="L133" s="8">
        <f t="shared" si="21"/>
        <v>50</v>
      </c>
      <c r="M133" s="8">
        <f t="shared" si="22"/>
        <v>79.055213466548309</v>
      </c>
      <c r="N133" s="8">
        <f t="shared" si="19"/>
        <v>0.79055213466548313</v>
      </c>
    </row>
    <row r="134" spans="1:14" s="5" customFormat="1" ht="13.2" x14ac:dyDescent="0.3">
      <c r="A134" s="6"/>
      <c r="E134" s="5">
        <v>132</v>
      </c>
      <c r="F134" s="5">
        <f t="shared" si="20"/>
        <v>132</v>
      </c>
      <c r="G134" s="8">
        <f t="shared" si="23"/>
        <v>13.227361549372336</v>
      </c>
      <c r="H134" s="8">
        <f t="shared" si="24"/>
        <v>627.17058237165952</v>
      </c>
      <c r="I134" s="8">
        <f t="shared" si="18"/>
        <v>0</v>
      </c>
      <c r="J134" s="8">
        <f t="shared" si="25"/>
        <v>1600</v>
      </c>
      <c r="K134" s="8">
        <f t="shared" si="26"/>
        <v>2.5511400645571807</v>
      </c>
      <c r="L134" s="8">
        <f t="shared" si="21"/>
        <v>50</v>
      </c>
      <c r="M134" s="8">
        <f t="shared" si="22"/>
        <v>127.55700322785903</v>
      </c>
      <c r="N134" s="8">
        <f t="shared" si="19"/>
        <v>1.2755700322785903</v>
      </c>
    </row>
    <row r="135" spans="1:14" s="5" customFormat="1" ht="13.2" x14ac:dyDescent="0.3">
      <c r="A135" s="6"/>
      <c r="E135" s="5">
        <v>133</v>
      </c>
      <c r="F135" s="5">
        <f t="shared" si="20"/>
        <v>133</v>
      </c>
      <c r="G135" s="8">
        <f t="shared" si="23"/>
        <v>0</v>
      </c>
      <c r="H135" s="8">
        <f t="shared" si="24"/>
        <v>640.39794392103181</v>
      </c>
      <c r="I135" s="8">
        <f t="shared" si="18"/>
        <v>17.615917756841274</v>
      </c>
      <c r="J135" s="8">
        <f t="shared" si="25"/>
        <v>400</v>
      </c>
      <c r="K135" s="8">
        <f t="shared" si="26"/>
        <v>0.62461162437667739</v>
      </c>
      <c r="L135" s="8">
        <f t="shared" si="21"/>
        <v>49.999999999999993</v>
      </c>
      <c r="M135" s="8">
        <f t="shared" si="22"/>
        <v>31.230581218833866</v>
      </c>
      <c r="N135" s="8">
        <f t="shared" si="19"/>
        <v>0.31230581218833864</v>
      </c>
    </row>
    <row r="136" spans="1:14" s="5" customFormat="1" ht="13.2" x14ac:dyDescent="0.3">
      <c r="A136" s="6"/>
      <c r="E136" s="5">
        <v>134</v>
      </c>
      <c r="F136" s="5">
        <f t="shared" si="20"/>
        <v>134</v>
      </c>
      <c r="G136" s="8">
        <f t="shared" si="23"/>
        <v>0</v>
      </c>
      <c r="H136" s="8">
        <f t="shared" si="24"/>
        <v>622.78202616419048</v>
      </c>
      <c r="I136" s="8">
        <f t="shared" si="18"/>
        <v>4.9112810465676207</v>
      </c>
      <c r="J136" s="8">
        <f t="shared" si="25"/>
        <v>1000</v>
      </c>
      <c r="K136" s="8">
        <f t="shared" si="26"/>
        <v>1.6056982346763482</v>
      </c>
      <c r="L136" s="8">
        <f t="shared" si="21"/>
        <v>50</v>
      </c>
      <c r="M136" s="8">
        <f t="shared" si="22"/>
        <v>80.28491173381741</v>
      </c>
      <c r="N136" s="8">
        <f t="shared" si="19"/>
        <v>0.8028491173381741</v>
      </c>
    </row>
    <row r="137" spans="1:14" s="5" customFormat="1" ht="13.2" x14ac:dyDescent="0.3">
      <c r="A137" s="6"/>
      <c r="E137" s="5">
        <v>135</v>
      </c>
      <c r="F137" s="5">
        <f t="shared" si="20"/>
        <v>135</v>
      </c>
      <c r="G137" s="8">
        <f t="shared" si="23"/>
        <v>14.148920795222089</v>
      </c>
      <c r="H137" s="8">
        <f t="shared" si="24"/>
        <v>617.87074511762285</v>
      </c>
      <c r="I137" s="8">
        <f t="shared" si="18"/>
        <v>0</v>
      </c>
      <c r="J137" s="8">
        <f t="shared" si="25"/>
        <v>1600</v>
      </c>
      <c r="K137" s="8">
        <f t="shared" si="26"/>
        <v>2.5895383664675871</v>
      </c>
      <c r="L137" s="8">
        <f t="shared" si="21"/>
        <v>50</v>
      </c>
      <c r="M137" s="8">
        <f t="shared" si="22"/>
        <v>129.47691832337935</v>
      </c>
      <c r="N137" s="8">
        <f t="shared" si="19"/>
        <v>1.2947691832337935</v>
      </c>
    </row>
    <row r="138" spans="1:14" s="5" customFormat="1" ht="13.2" x14ac:dyDescent="0.3">
      <c r="A138" s="6"/>
      <c r="E138" s="5">
        <v>136</v>
      </c>
      <c r="F138" s="5">
        <f t="shared" si="20"/>
        <v>136</v>
      </c>
      <c r="G138" s="8">
        <f t="shared" si="23"/>
        <v>0</v>
      </c>
      <c r="H138" s="8">
        <f t="shared" si="24"/>
        <v>632.01966591284497</v>
      </c>
      <c r="I138" s="8">
        <f t="shared" ref="I138:I201" si="27">H138*$B$5*$B$2*MAX(0,1-N138)</f>
        <v>5.2807866365137954</v>
      </c>
      <c r="J138" s="8">
        <f t="shared" si="25"/>
        <v>1000</v>
      </c>
      <c r="K138" s="8">
        <f t="shared" si="26"/>
        <v>1.5822292468631811</v>
      </c>
      <c r="L138" s="8">
        <f t="shared" si="21"/>
        <v>50</v>
      </c>
      <c r="M138" s="8">
        <f t="shared" si="22"/>
        <v>79.111462343159062</v>
      </c>
      <c r="N138" s="8">
        <f t="shared" si="19"/>
        <v>0.79111462343159067</v>
      </c>
    </row>
    <row r="139" spans="1:14" s="5" customFormat="1" ht="13.2" x14ac:dyDescent="0.3">
      <c r="A139" s="6"/>
      <c r="E139" s="5">
        <v>137</v>
      </c>
      <c r="F139" s="5">
        <f t="shared" si="20"/>
        <v>137</v>
      </c>
      <c r="G139" s="8">
        <f t="shared" si="23"/>
        <v>0</v>
      </c>
      <c r="H139" s="8">
        <f t="shared" si="24"/>
        <v>626.7388792763312</v>
      </c>
      <c r="I139" s="8">
        <f t="shared" si="27"/>
        <v>5.0695551710532483</v>
      </c>
      <c r="J139" s="8">
        <f t="shared" si="25"/>
        <v>1000</v>
      </c>
      <c r="K139" s="8">
        <f t="shared" si="26"/>
        <v>1.5955608197702009</v>
      </c>
      <c r="L139" s="8">
        <f t="shared" si="21"/>
        <v>50</v>
      </c>
      <c r="M139" s="8">
        <f t="shared" si="22"/>
        <v>79.778040988510043</v>
      </c>
      <c r="N139" s="8">
        <f t="shared" si="19"/>
        <v>0.79778040988510046</v>
      </c>
    </row>
    <row r="140" spans="1:14" s="5" customFormat="1" ht="13.2" x14ac:dyDescent="0.3">
      <c r="A140" s="6"/>
      <c r="E140" s="5">
        <v>138</v>
      </c>
      <c r="F140" s="5">
        <f t="shared" si="20"/>
        <v>138</v>
      </c>
      <c r="G140" s="8">
        <f t="shared" si="23"/>
        <v>13.769172952624359</v>
      </c>
      <c r="H140" s="8">
        <f t="shared" si="24"/>
        <v>621.66932410527795</v>
      </c>
      <c r="I140" s="8">
        <f t="shared" si="27"/>
        <v>0</v>
      </c>
      <c r="J140" s="8">
        <f t="shared" si="25"/>
        <v>1600</v>
      </c>
      <c r="K140" s="8">
        <f t="shared" si="26"/>
        <v>2.5737155396926816</v>
      </c>
      <c r="L140" s="8">
        <f t="shared" si="21"/>
        <v>50</v>
      </c>
      <c r="M140" s="8">
        <f t="shared" si="22"/>
        <v>128.68577698463409</v>
      </c>
      <c r="N140" s="8">
        <f t="shared" si="19"/>
        <v>1.2868577698463408</v>
      </c>
    </row>
    <row r="141" spans="1:14" s="5" customFormat="1" ht="13.2" x14ac:dyDescent="0.3">
      <c r="A141" s="6"/>
      <c r="E141" s="5">
        <v>139</v>
      </c>
      <c r="F141" s="5">
        <f t="shared" si="20"/>
        <v>139</v>
      </c>
      <c r="G141" s="8">
        <f t="shared" si="23"/>
        <v>0</v>
      </c>
      <c r="H141" s="8">
        <f t="shared" si="24"/>
        <v>635.43849705790228</v>
      </c>
      <c r="I141" s="8">
        <f t="shared" si="27"/>
        <v>5.417539882316091</v>
      </c>
      <c r="J141" s="8">
        <f t="shared" si="25"/>
        <v>1000</v>
      </c>
      <c r="K141" s="8">
        <f t="shared" si="26"/>
        <v>1.5737164251615656</v>
      </c>
      <c r="L141" s="8">
        <f t="shared" si="21"/>
        <v>50</v>
      </c>
      <c r="M141" s="8">
        <f t="shared" si="22"/>
        <v>78.685821258078278</v>
      </c>
      <c r="N141" s="8">
        <f t="shared" si="19"/>
        <v>0.78685821258078281</v>
      </c>
    </row>
    <row r="142" spans="1:14" s="5" customFormat="1" ht="13.2" x14ac:dyDescent="0.3">
      <c r="A142" s="6"/>
      <c r="E142" s="5">
        <v>140</v>
      </c>
      <c r="F142" s="5">
        <f t="shared" si="20"/>
        <v>140</v>
      </c>
      <c r="G142" s="8">
        <f t="shared" si="23"/>
        <v>0</v>
      </c>
      <c r="H142" s="8">
        <f t="shared" si="24"/>
        <v>630.0209571755862</v>
      </c>
      <c r="I142" s="8">
        <f t="shared" si="27"/>
        <v>17.200838287023444</v>
      </c>
      <c r="J142" s="8">
        <f t="shared" si="25"/>
        <v>400</v>
      </c>
      <c r="K142" s="8">
        <f t="shared" si="26"/>
        <v>0.63489951476093576</v>
      </c>
      <c r="L142" s="8">
        <f t="shared" si="21"/>
        <v>50.000000000000014</v>
      </c>
      <c r="M142" s="8">
        <f t="shared" si="22"/>
        <v>31.744975738046797</v>
      </c>
      <c r="N142" s="8">
        <f t="shared" si="19"/>
        <v>0.31744975738046799</v>
      </c>
    </row>
    <row r="143" spans="1:14" s="5" customFormat="1" ht="13.2" x14ac:dyDescent="0.3">
      <c r="A143" s="6"/>
      <c r="E143" s="5">
        <v>141</v>
      </c>
      <c r="F143" s="5">
        <f t="shared" si="20"/>
        <v>141</v>
      </c>
      <c r="G143" s="8">
        <f t="shared" si="23"/>
        <v>14.661128145798987</v>
      </c>
      <c r="H143" s="8">
        <f t="shared" si="24"/>
        <v>612.82011888856277</v>
      </c>
      <c r="I143" s="8">
        <f t="shared" si="27"/>
        <v>0</v>
      </c>
      <c r="J143" s="8">
        <f t="shared" si="25"/>
        <v>1600</v>
      </c>
      <c r="K143" s="8">
        <f t="shared" si="26"/>
        <v>2.6108803394082911</v>
      </c>
      <c r="L143" s="8">
        <f t="shared" si="21"/>
        <v>50</v>
      </c>
      <c r="M143" s="8">
        <f t="shared" si="22"/>
        <v>130.54401697041456</v>
      </c>
      <c r="N143" s="8">
        <f t="shared" si="19"/>
        <v>1.3054401697041456</v>
      </c>
    </row>
    <row r="144" spans="1:14" s="5" customFormat="1" ht="13.2" x14ac:dyDescent="0.3">
      <c r="A144" s="6"/>
      <c r="E144" s="5">
        <v>142</v>
      </c>
      <c r="F144" s="5">
        <f t="shared" si="20"/>
        <v>142</v>
      </c>
      <c r="G144" s="8">
        <f t="shared" si="23"/>
        <v>0</v>
      </c>
      <c r="H144" s="8">
        <f t="shared" si="24"/>
        <v>627.48124703436179</v>
      </c>
      <c r="I144" s="8">
        <f t="shared" si="27"/>
        <v>5.0992498813744707</v>
      </c>
      <c r="J144" s="8">
        <f t="shared" si="25"/>
        <v>1000</v>
      </c>
      <c r="K144" s="8">
        <f t="shared" si="26"/>
        <v>1.5936731252547514</v>
      </c>
      <c r="L144" s="8">
        <f t="shared" si="21"/>
        <v>50</v>
      </c>
      <c r="M144" s="8">
        <f t="shared" si="22"/>
        <v>79.683656262737571</v>
      </c>
      <c r="N144" s="8">
        <f t="shared" si="19"/>
        <v>0.79683656262737568</v>
      </c>
    </row>
    <row r="145" spans="1:14" s="5" customFormat="1" ht="13.2" x14ac:dyDescent="0.3">
      <c r="A145" s="6"/>
      <c r="E145" s="5">
        <v>143</v>
      </c>
      <c r="F145" s="5">
        <f t="shared" si="20"/>
        <v>143</v>
      </c>
      <c r="G145" s="8">
        <f t="shared" si="23"/>
        <v>0</v>
      </c>
      <c r="H145" s="8">
        <f t="shared" si="24"/>
        <v>622.38199715298731</v>
      </c>
      <c r="I145" s="8">
        <f t="shared" si="27"/>
        <v>4.8952798861194928</v>
      </c>
      <c r="J145" s="8">
        <f t="shared" si="25"/>
        <v>1000</v>
      </c>
      <c r="K145" s="8">
        <f t="shared" si="26"/>
        <v>1.6067302791121554</v>
      </c>
      <c r="L145" s="8">
        <f t="shared" si="21"/>
        <v>50</v>
      </c>
      <c r="M145" s="8">
        <f t="shared" si="22"/>
        <v>80.336513955607771</v>
      </c>
      <c r="N145" s="8">
        <f t="shared" si="19"/>
        <v>0.80336513955607769</v>
      </c>
    </row>
    <row r="146" spans="1:14" s="5" customFormat="1" ht="13.2" x14ac:dyDescent="0.3">
      <c r="A146" s="6"/>
      <c r="E146" s="5">
        <v>144</v>
      </c>
      <c r="F146" s="5">
        <f t="shared" si="20"/>
        <v>144</v>
      </c>
      <c r="G146" s="8">
        <f t="shared" si="23"/>
        <v>14.187572503529882</v>
      </c>
      <c r="H146" s="8">
        <f t="shared" si="24"/>
        <v>617.4867172668678</v>
      </c>
      <c r="I146" s="8">
        <f t="shared" si="27"/>
        <v>0</v>
      </c>
      <c r="J146" s="8">
        <f t="shared" si="25"/>
        <v>1600</v>
      </c>
      <c r="K146" s="8">
        <f t="shared" si="26"/>
        <v>2.5911488543137451</v>
      </c>
      <c r="L146" s="8">
        <f t="shared" si="21"/>
        <v>50</v>
      </c>
      <c r="M146" s="8">
        <f t="shared" si="22"/>
        <v>129.55744271568724</v>
      </c>
      <c r="N146" s="8">
        <f t="shared" si="19"/>
        <v>1.2955744271568725</v>
      </c>
    </row>
    <row r="147" spans="1:14" s="5" customFormat="1" ht="13.2" x14ac:dyDescent="0.3">
      <c r="A147" s="6"/>
      <c r="E147" s="5">
        <v>145</v>
      </c>
      <c r="F147" s="5">
        <f t="shared" si="20"/>
        <v>145</v>
      </c>
      <c r="G147" s="8">
        <f t="shared" si="23"/>
        <v>0</v>
      </c>
      <c r="H147" s="8">
        <f t="shared" si="24"/>
        <v>631.67428977039765</v>
      </c>
      <c r="I147" s="8">
        <f t="shared" si="27"/>
        <v>5.2669715908159018</v>
      </c>
      <c r="J147" s="8">
        <f t="shared" si="25"/>
        <v>1000</v>
      </c>
      <c r="K147" s="8">
        <f t="shared" si="26"/>
        <v>1.583094351304819</v>
      </c>
      <c r="L147" s="8">
        <f t="shared" si="21"/>
        <v>50.000000000000014</v>
      </c>
      <c r="M147" s="8">
        <f t="shared" si="22"/>
        <v>79.154717565240972</v>
      </c>
      <c r="N147" s="8">
        <f t="shared" si="19"/>
        <v>0.79154717565240973</v>
      </c>
    </row>
    <row r="148" spans="1:14" s="5" customFormat="1" ht="13.2" x14ac:dyDescent="0.3">
      <c r="A148" s="6"/>
      <c r="E148" s="5">
        <v>146</v>
      </c>
      <c r="F148" s="5">
        <f t="shared" si="20"/>
        <v>146</v>
      </c>
      <c r="G148" s="8">
        <f t="shared" si="23"/>
        <v>0</v>
      </c>
      <c r="H148" s="8">
        <f t="shared" si="24"/>
        <v>626.40731817958169</v>
      </c>
      <c r="I148" s="8">
        <f t="shared" si="27"/>
        <v>5.0562927271832692</v>
      </c>
      <c r="J148" s="8">
        <f t="shared" si="25"/>
        <v>1000</v>
      </c>
      <c r="K148" s="8">
        <f t="shared" si="26"/>
        <v>1.5964053595448495</v>
      </c>
      <c r="L148" s="8">
        <f t="shared" si="21"/>
        <v>49.999999999999993</v>
      </c>
      <c r="M148" s="8">
        <f t="shared" si="22"/>
        <v>79.820267977242466</v>
      </c>
      <c r="N148" s="8">
        <f t="shared" si="19"/>
        <v>0.79820267977242465</v>
      </c>
    </row>
    <row r="149" spans="1:14" s="5" customFormat="1" ht="13.2" x14ac:dyDescent="0.3">
      <c r="A149" s="6"/>
      <c r="E149" s="5">
        <v>147</v>
      </c>
      <c r="F149" s="5">
        <f t="shared" si="20"/>
        <v>147</v>
      </c>
      <c r="G149" s="8">
        <f t="shared" si="23"/>
        <v>13.800815363652791</v>
      </c>
      <c r="H149" s="8">
        <f t="shared" si="24"/>
        <v>621.3510254523984</v>
      </c>
      <c r="I149" s="8">
        <f t="shared" si="27"/>
        <v>0</v>
      </c>
      <c r="J149" s="8">
        <f t="shared" si="25"/>
        <v>1600</v>
      </c>
      <c r="K149" s="8">
        <f t="shared" si="26"/>
        <v>2.575033973485533</v>
      </c>
      <c r="L149" s="8">
        <f t="shared" si="21"/>
        <v>50</v>
      </c>
      <c r="M149" s="8">
        <f t="shared" si="22"/>
        <v>128.75169867427664</v>
      </c>
      <c r="N149" s="8">
        <f t="shared" si="19"/>
        <v>1.2875169867427665</v>
      </c>
    </row>
    <row r="150" spans="1:14" s="5" customFormat="1" ht="13.2" x14ac:dyDescent="0.3">
      <c r="A150" s="6"/>
      <c r="E150" s="5">
        <v>148</v>
      </c>
      <c r="F150" s="5">
        <f t="shared" si="20"/>
        <v>148</v>
      </c>
      <c r="G150" s="8">
        <f t="shared" si="23"/>
        <v>0</v>
      </c>
      <c r="H150" s="8">
        <f t="shared" si="24"/>
        <v>635.15184081605116</v>
      </c>
      <c r="I150" s="8">
        <f t="shared" si="27"/>
        <v>5.4060736326420473</v>
      </c>
      <c r="J150" s="8">
        <f t="shared" si="25"/>
        <v>1000</v>
      </c>
      <c r="K150" s="8">
        <f t="shared" si="26"/>
        <v>1.5744266736520629</v>
      </c>
      <c r="L150" s="8">
        <f t="shared" si="21"/>
        <v>50</v>
      </c>
      <c r="M150" s="8">
        <f t="shared" si="22"/>
        <v>78.721333682603145</v>
      </c>
      <c r="N150" s="8">
        <f t="shared" si="19"/>
        <v>0.78721333682603145</v>
      </c>
    </row>
    <row r="151" spans="1:14" s="5" customFormat="1" ht="13.2" x14ac:dyDescent="0.3">
      <c r="A151" s="6"/>
      <c r="E151" s="5">
        <v>149</v>
      </c>
      <c r="F151" s="5">
        <f t="shared" si="20"/>
        <v>149</v>
      </c>
      <c r="G151" s="8">
        <f t="shared" si="23"/>
        <v>0</v>
      </c>
      <c r="H151" s="8">
        <f t="shared" si="24"/>
        <v>629.74576718340916</v>
      </c>
      <c r="I151" s="8">
        <f t="shared" si="27"/>
        <v>5.1898306873363698</v>
      </c>
      <c r="J151" s="8">
        <f t="shared" si="25"/>
        <v>1000</v>
      </c>
      <c r="K151" s="8">
        <f t="shared" si="26"/>
        <v>1.5879423921697544</v>
      </c>
      <c r="L151" s="8">
        <f t="shared" si="21"/>
        <v>50</v>
      </c>
      <c r="M151" s="8">
        <f t="shared" si="22"/>
        <v>79.397119608487714</v>
      </c>
      <c r="N151" s="8">
        <f t="shared" si="19"/>
        <v>0.7939711960848771</v>
      </c>
    </row>
    <row r="152" spans="1:14" s="5" customFormat="1" ht="13.2" x14ac:dyDescent="0.3">
      <c r="A152" s="6"/>
      <c r="E152" s="5">
        <v>150</v>
      </c>
      <c r="F152" s="5">
        <f t="shared" si="20"/>
        <v>150</v>
      </c>
      <c r="G152" s="8">
        <f t="shared" si="23"/>
        <v>13.483684256424418</v>
      </c>
      <c r="H152" s="8">
        <f t="shared" si="24"/>
        <v>624.55593649607283</v>
      </c>
      <c r="I152" s="8">
        <f t="shared" si="27"/>
        <v>0</v>
      </c>
      <c r="J152" s="8">
        <f t="shared" si="25"/>
        <v>1600</v>
      </c>
      <c r="K152" s="8">
        <f t="shared" si="26"/>
        <v>2.5618201773510174</v>
      </c>
      <c r="L152" s="8">
        <f t="shared" si="21"/>
        <v>50</v>
      </c>
      <c r="M152" s="8">
        <f t="shared" si="22"/>
        <v>128.09100886755087</v>
      </c>
      <c r="N152" s="8">
        <f t="shared" si="19"/>
        <v>1.2809100886755087</v>
      </c>
    </row>
    <row r="153" spans="1:14" s="5" customFormat="1" ht="13.2" x14ac:dyDescent="0.3">
      <c r="A153" s="6"/>
      <c r="E153" s="5">
        <v>151</v>
      </c>
      <c r="F153" s="5">
        <f t="shared" si="20"/>
        <v>151</v>
      </c>
      <c r="G153" s="8">
        <f t="shared" si="23"/>
        <v>0</v>
      </c>
      <c r="H153" s="8">
        <f t="shared" si="24"/>
        <v>638.03962075249729</v>
      </c>
      <c r="I153" s="8">
        <f t="shared" si="27"/>
        <v>5.5215848300998918</v>
      </c>
      <c r="J153" s="8">
        <f t="shared" si="25"/>
        <v>1000</v>
      </c>
      <c r="K153" s="8">
        <f t="shared" si="26"/>
        <v>1.5673007874034695</v>
      </c>
      <c r="L153" s="8">
        <f t="shared" si="21"/>
        <v>50</v>
      </c>
      <c r="M153" s="8">
        <f t="shared" si="22"/>
        <v>78.365039370173477</v>
      </c>
      <c r="N153" s="8">
        <f t="shared" si="19"/>
        <v>0.78365039370173473</v>
      </c>
    </row>
    <row r="154" spans="1:14" s="5" customFormat="1" ht="13.2" x14ac:dyDescent="0.3">
      <c r="A154" s="6"/>
      <c r="E154" s="5">
        <v>152</v>
      </c>
      <c r="F154" s="5">
        <f t="shared" si="20"/>
        <v>152</v>
      </c>
      <c r="G154" s="8">
        <f t="shared" si="23"/>
        <v>0</v>
      </c>
      <c r="H154" s="8">
        <f t="shared" si="24"/>
        <v>632.51803592239742</v>
      </c>
      <c r="I154" s="8">
        <f t="shared" si="27"/>
        <v>5.3007214368958966</v>
      </c>
      <c r="J154" s="8">
        <f t="shared" si="25"/>
        <v>1000</v>
      </c>
      <c r="K154" s="8">
        <f t="shared" si="26"/>
        <v>1.5809825858035902</v>
      </c>
      <c r="L154" s="8">
        <f t="shared" si="21"/>
        <v>50</v>
      </c>
      <c r="M154" s="8">
        <f t="shared" si="22"/>
        <v>79.049129290179508</v>
      </c>
      <c r="N154" s="8">
        <f t="shared" si="19"/>
        <v>0.7904912929017951</v>
      </c>
    </row>
    <row r="155" spans="1:14" s="5" customFormat="1" ht="13.2" x14ac:dyDescent="0.3">
      <c r="A155" s="6"/>
      <c r="E155" s="5">
        <v>153</v>
      </c>
      <c r="F155" s="5">
        <f t="shared" si="20"/>
        <v>153</v>
      </c>
      <c r="G155" s="8">
        <f t="shared" si="23"/>
        <v>13.222799679085767</v>
      </c>
      <c r="H155" s="8">
        <f t="shared" si="24"/>
        <v>627.21731448550156</v>
      </c>
      <c r="I155" s="8">
        <f t="shared" si="27"/>
        <v>0</v>
      </c>
      <c r="J155" s="8">
        <f t="shared" si="25"/>
        <v>1600</v>
      </c>
      <c r="K155" s="8">
        <f t="shared" si="26"/>
        <v>2.5509499866285736</v>
      </c>
      <c r="L155" s="8">
        <f t="shared" si="21"/>
        <v>50</v>
      </c>
      <c r="M155" s="8">
        <f t="shared" si="22"/>
        <v>127.54749933142868</v>
      </c>
      <c r="N155" s="8">
        <f t="shared" si="19"/>
        <v>1.2754749933142868</v>
      </c>
    </row>
    <row r="156" spans="1:14" s="5" customFormat="1" ht="13.2" x14ac:dyDescent="0.3">
      <c r="A156" s="6"/>
      <c r="E156" s="5">
        <v>154</v>
      </c>
      <c r="F156" s="5">
        <f t="shared" si="20"/>
        <v>154</v>
      </c>
      <c r="G156" s="8">
        <f t="shared" si="23"/>
        <v>0</v>
      </c>
      <c r="H156" s="8">
        <f t="shared" si="24"/>
        <v>640.44011416458738</v>
      </c>
      <c r="I156" s="8">
        <f t="shared" si="27"/>
        <v>17.617604566583495</v>
      </c>
      <c r="J156" s="8">
        <f t="shared" si="25"/>
        <v>400</v>
      </c>
      <c r="K156" s="8">
        <f t="shared" si="26"/>
        <v>0.62457049637150552</v>
      </c>
      <c r="L156" s="8">
        <f t="shared" si="21"/>
        <v>50</v>
      </c>
      <c r="M156" s="8">
        <f t="shared" si="22"/>
        <v>31.228524818575277</v>
      </c>
      <c r="N156" s="8">
        <f t="shared" si="19"/>
        <v>0.31228524818575276</v>
      </c>
    </row>
    <row r="157" spans="1:14" s="5" customFormat="1" ht="13.2" x14ac:dyDescent="0.3">
      <c r="A157" s="6"/>
      <c r="E157" s="5">
        <v>155</v>
      </c>
      <c r="F157" s="5">
        <f t="shared" si="20"/>
        <v>155</v>
      </c>
      <c r="G157" s="8">
        <f t="shared" si="23"/>
        <v>0</v>
      </c>
      <c r="H157" s="8">
        <f t="shared" si="24"/>
        <v>622.82250959800388</v>
      </c>
      <c r="I157" s="8">
        <f t="shared" si="27"/>
        <v>4.9129003839201557</v>
      </c>
      <c r="J157" s="8">
        <f t="shared" si="25"/>
        <v>1000</v>
      </c>
      <c r="K157" s="8">
        <f t="shared" si="26"/>
        <v>1.6055938643666596</v>
      </c>
      <c r="L157" s="8">
        <f t="shared" si="21"/>
        <v>50</v>
      </c>
      <c r="M157" s="8">
        <f t="shared" si="22"/>
        <v>80.27969321833298</v>
      </c>
      <c r="N157" s="8">
        <f t="shared" si="19"/>
        <v>0.80279693218332981</v>
      </c>
    </row>
    <row r="158" spans="1:14" s="5" customFormat="1" ht="13.2" x14ac:dyDescent="0.3">
      <c r="A158" s="6"/>
      <c r="E158" s="5">
        <v>156</v>
      </c>
      <c r="F158" s="5">
        <f t="shared" si="20"/>
        <v>156</v>
      </c>
      <c r="G158" s="8">
        <f t="shared" si="23"/>
        <v>14.145011871300678</v>
      </c>
      <c r="H158" s="8">
        <f t="shared" si="24"/>
        <v>617.90960921408373</v>
      </c>
      <c r="I158" s="8">
        <f t="shared" si="27"/>
        <v>0</v>
      </c>
      <c r="J158" s="8">
        <f t="shared" si="25"/>
        <v>1600</v>
      </c>
      <c r="K158" s="8">
        <f t="shared" si="26"/>
        <v>2.5893754946375287</v>
      </c>
      <c r="L158" s="8">
        <f t="shared" si="21"/>
        <v>49.999999999999993</v>
      </c>
      <c r="M158" s="8">
        <f t="shared" si="22"/>
        <v>129.46877473187641</v>
      </c>
      <c r="N158" s="8">
        <f t="shared" si="19"/>
        <v>1.2946877473187641</v>
      </c>
    </row>
    <row r="159" spans="1:14" s="5" customFormat="1" ht="13.2" x14ac:dyDescent="0.3">
      <c r="A159" s="6"/>
      <c r="E159" s="5">
        <v>157</v>
      </c>
      <c r="F159" s="5">
        <f t="shared" si="20"/>
        <v>157</v>
      </c>
      <c r="G159" s="8">
        <f t="shared" si="23"/>
        <v>0</v>
      </c>
      <c r="H159" s="8">
        <f t="shared" si="24"/>
        <v>632.05462108538438</v>
      </c>
      <c r="I159" s="8">
        <f t="shared" si="27"/>
        <v>5.2821848434153784</v>
      </c>
      <c r="J159" s="8">
        <f t="shared" si="25"/>
        <v>1000</v>
      </c>
      <c r="K159" s="8">
        <f t="shared" si="26"/>
        <v>1.5821417431973965</v>
      </c>
      <c r="L159" s="8">
        <f t="shared" si="21"/>
        <v>50</v>
      </c>
      <c r="M159" s="8">
        <f t="shared" si="22"/>
        <v>79.10708715986982</v>
      </c>
      <c r="N159" s="8">
        <f t="shared" si="19"/>
        <v>0.79107087159869816</v>
      </c>
    </row>
    <row r="160" spans="1:14" s="5" customFormat="1" ht="13.2" x14ac:dyDescent="0.3">
      <c r="A160" s="6"/>
      <c r="E160" s="5">
        <v>158</v>
      </c>
      <c r="F160" s="5">
        <f t="shared" si="20"/>
        <v>158</v>
      </c>
      <c r="G160" s="8">
        <f t="shared" si="23"/>
        <v>0</v>
      </c>
      <c r="H160" s="8">
        <f t="shared" si="24"/>
        <v>626.77243624196899</v>
      </c>
      <c r="I160" s="8">
        <f t="shared" si="27"/>
        <v>5.0708974496787587</v>
      </c>
      <c r="J160" s="8">
        <f t="shared" si="25"/>
        <v>1000</v>
      </c>
      <c r="K160" s="8">
        <f t="shared" si="26"/>
        <v>1.5954753945400759</v>
      </c>
      <c r="L160" s="8">
        <f t="shared" si="21"/>
        <v>50</v>
      </c>
      <c r="M160" s="8">
        <f t="shared" si="22"/>
        <v>79.773769727003796</v>
      </c>
      <c r="N160" s="8">
        <f t="shared" si="19"/>
        <v>0.79773769727003796</v>
      </c>
    </row>
    <row r="161" spans="1:14" s="5" customFormat="1" ht="13.2" x14ac:dyDescent="0.3">
      <c r="A161" s="6"/>
      <c r="E161" s="5">
        <v>159</v>
      </c>
      <c r="F161" s="5">
        <f t="shared" si="20"/>
        <v>159</v>
      </c>
      <c r="G161" s="8">
        <f t="shared" si="23"/>
        <v>13.765972261537854</v>
      </c>
      <c r="H161" s="8">
        <f t="shared" si="24"/>
        <v>621.70153879229019</v>
      </c>
      <c r="I161" s="8">
        <f t="shared" si="27"/>
        <v>0</v>
      </c>
      <c r="J161" s="8">
        <f t="shared" si="25"/>
        <v>1600</v>
      </c>
      <c r="K161" s="8">
        <f t="shared" si="26"/>
        <v>2.5735821775640777</v>
      </c>
      <c r="L161" s="8">
        <f t="shared" si="21"/>
        <v>49.999999999999993</v>
      </c>
      <c r="M161" s="8">
        <f t="shared" si="22"/>
        <v>128.67910887820386</v>
      </c>
      <c r="N161" s="8">
        <f t="shared" si="19"/>
        <v>1.2867910887820386</v>
      </c>
    </row>
    <row r="162" spans="1:14" s="5" customFormat="1" ht="13.2" x14ac:dyDescent="0.3">
      <c r="A162" s="6"/>
      <c r="E162" s="5">
        <v>160</v>
      </c>
      <c r="F162" s="5">
        <f t="shared" si="20"/>
        <v>160</v>
      </c>
      <c r="G162" s="8">
        <f t="shared" si="23"/>
        <v>0</v>
      </c>
      <c r="H162" s="8">
        <f t="shared" si="24"/>
        <v>635.46751105382805</v>
      </c>
      <c r="I162" s="8">
        <f t="shared" si="27"/>
        <v>5.4187004421531215</v>
      </c>
      <c r="J162" s="8">
        <f t="shared" si="25"/>
        <v>1000</v>
      </c>
      <c r="K162" s="8">
        <f t="shared" si="26"/>
        <v>1.5736445728620323</v>
      </c>
      <c r="L162" s="8">
        <f t="shared" si="21"/>
        <v>50</v>
      </c>
      <c r="M162" s="8">
        <f t="shared" si="22"/>
        <v>78.68222864310161</v>
      </c>
      <c r="N162" s="8">
        <f t="shared" si="19"/>
        <v>0.78682228643101615</v>
      </c>
    </row>
    <row r="163" spans="1:14" s="5" customFormat="1" ht="13.2" x14ac:dyDescent="0.3">
      <c r="A163" s="6"/>
      <c r="E163" s="5">
        <v>161</v>
      </c>
      <c r="F163" s="5">
        <f t="shared" si="20"/>
        <v>161</v>
      </c>
      <c r="G163" s="8">
        <f t="shared" si="23"/>
        <v>0</v>
      </c>
      <c r="H163" s="8">
        <f t="shared" si="24"/>
        <v>630.04881061167498</v>
      </c>
      <c r="I163" s="8">
        <f t="shared" si="27"/>
        <v>17.201952424466999</v>
      </c>
      <c r="J163" s="8">
        <f t="shared" si="25"/>
        <v>400</v>
      </c>
      <c r="K163" s="8">
        <f t="shared" si="26"/>
        <v>0.63487144688308361</v>
      </c>
      <c r="L163" s="8">
        <f t="shared" si="21"/>
        <v>50</v>
      </c>
      <c r="M163" s="8">
        <f t="shared" si="22"/>
        <v>31.743572344154181</v>
      </c>
      <c r="N163" s="8">
        <f t="shared" si="19"/>
        <v>0.31743572344154181</v>
      </c>
    </row>
    <row r="164" spans="1:14" s="5" customFormat="1" ht="13.2" x14ac:dyDescent="0.3">
      <c r="A164" s="6"/>
      <c r="E164" s="5">
        <v>162</v>
      </c>
      <c r="F164" s="5">
        <f t="shared" si="20"/>
        <v>162</v>
      </c>
      <c r="G164" s="8">
        <f t="shared" si="23"/>
        <v>14.658394159980908</v>
      </c>
      <c r="H164" s="8">
        <f t="shared" si="24"/>
        <v>612.846858187208</v>
      </c>
      <c r="I164" s="8">
        <f t="shared" si="27"/>
        <v>0</v>
      </c>
      <c r="J164" s="8">
        <f t="shared" si="25"/>
        <v>1600</v>
      </c>
      <c r="K164" s="8">
        <f t="shared" si="26"/>
        <v>2.6107664233325378</v>
      </c>
      <c r="L164" s="8">
        <f t="shared" si="21"/>
        <v>50</v>
      </c>
      <c r="M164" s="8">
        <f t="shared" si="22"/>
        <v>130.5383211666269</v>
      </c>
      <c r="N164" s="8">
        <f t="shared" si="19"/>
        <v>1.3053832116662689</v>
      </c>
    </row>
    <row r="165" spans="1:14" s="5" customFormat="1" ht="13.2" x14ac:dyDescent="0.3">
      <c r="A165" s="6"/>
      <c r="E165" s="5">
        <v>163</v>
      </c>
      <c r="F165" s="5">
        <f t="shared" si="20"/>
        <v>163</v>
      </c>
      <c r="G165" s="8">
        <f t="shared" si="23"/>
        <v>0</v>
      </c>
      <c r="H165" s="8">
        <f t="shared" si="24"/>
        <v>627.50525234718896</v>
      </c>
      <c r="I165" s="8">
        <f t="shared" si="27"/>
        <v>5.1002100938875579</v>
      </c>
      <c r="J165" s="8">
        <f t="shared" si="25"/>
        <v>1000</v>
      </c>
      <c r="K165" s="8">
        <f t="shared" si="26"/>
        <v>1.5936121590369023</v>
      </c>
      <c r="L165" s="8">
        <f t="shared" si="21"/>
        <v>50</v>
      </c>
      <c r="M165" s="8">
        <f t="shared" si="22"/>
        <v>79.680607951845118</v>
      </c>
      <c r="N165" s="8">
        <f t="shared" si="19"/>
        <v>0.79680607951845117</v>
      </c>
    </row>
    <row r="166" spans="1:14" s="5" customFormat="1" ht="13.2" x14ac:dyDescent="0.3">
      <c r="A166" s="6"/>
      <c r="E166" s="5">
        <v>164</v>
      </c>
      <c r="F166" s="5">
        <f t="shared" si="20"/>
        <v>164</v>
      </c>
      <c r="G166" s="8">
        <f t="shared" si="23"/>
        <v>0</v>
      </c>
      <c r="H166" s="8">
        <f t="shared" si="24"/>
        <v>622.40504225330142</v>
      </c>
      <c r="I166" s="8">
        <f t="shared" si="27"/>
        <v>4.8962016901320551</v>
      </c>
      <c r="J166" s="8">
        <f t="shared" si="25"/>
        <v>1000</v>
      </c>
      <c r="K166" s="8">
        <f t="shared" si="26"/>
        <v>1.6066707884943965</v>
      </c>
      <c r="L166" s="8">
        <f t="shared" si="21"/>
        <v>50</v>
      </c>
      <c r="M166" s="8">
        <f t="shared" si="22"/>
        <v>80.333539424719831</v>
      </c>
      <c r="N166" s="8">
        <f t="shared" si="19"/>
        <v>0.80333539424719835</v>
      </c>
    </row>
    <row r="167" spans="1:14" s="5" customFormat="1" ht="13.2" x14ac:dyDescent="0.3">
      <c r="A167" s="6"/>
      <c r="E167" s="5">
        <v>165</v>
      </c>
      <c r="F167" s="5">
        <f t="shared" si="20"/>
        <v>165</v>
      </c>
      <c r="G167" s="8">
        <f t="shared" si="23"/>
        <v>14.18534452879916</v>
      </c>
      <c r="H167" s="8">
        <f t="shared" si="24"/>
        <v>617.50884056316931</v>
      </c>
      <c r="I167" s="8">
        <f t="shared" si="27"/>
        <v>0</v>
      </c>
      <c r="J167" s="8">
        <f t="shared" si="25"/>
        <v>1600</v>
      </c>
      <c r="K167" s="8">
        <f t="shared" si="26"/>
        <v>2.5910560220332988</v>
      </c>
      <c r="L167" s="8">
        <f t="shared" si="21"/>
        <v>50</v>
      </c>
      <c r="M167" s="8">
        <f t="shared" si="22"/>
        <v>129.55280110166493</v>
      </c>
      <c r="N167" s="8">
        <f t="shared" si="19"/>
        <v>1.2955280110166492</v>
      </c>
    </row>
    <row r="168" spans="1:14" s="5" customFormat="1" ht="13.2" x14ac:dyDescent="0.3">
      <c r="A168" s="6"/>
      <c r="E168" s="5">
        <v>166</v>
      </c>
      <c r="F168" s="5">
        <f t="shared" si="20"/>
        <v>166</v>
      </c>
      <c r="G168" s="8">
        <f t="shared" si="23"/>
        <v>0</v>
      </c>
      <c r="H168" s="8">
        <f t="shared" si="24"/>
        <v>631.69418509196851</v>
      </c>
      <c r="I168" s="8">
        <f t="shared" si="27"/>
        <v>5.2677674036787394</v>
      </c>
      <c r="J168" s="8">
        <f t="shared" si="25"/>
        <v>1000</v>
      </c>
      <c r="K168" s="8">
        <f t="shared" si="26"/>
        <v>1.5830444914645048</v>
      </c>
      <c r="L168" s="8">
        <f t="shared" si="21"/>
        <v>50</v>
      </c>
      <c r="M168" s="8">
        <f t="shared" si="22"/>
        <v>79.15222457322524</v>
      </c>
      <c r="N168" s="8">
        <f t="shared" si="19"/>
        <v>0.79152224573225238</v>
      </c>
    </row>
    <row r="169" spans="1:14" s="5" customFormat="1" ht="13.2" x14ac:dyDescent="0.3">
      <c r="A169" s="6"/>
      <c r="E169" s="5">
        <v>167</v>
      </c>
      <c r="F169" s="5">
        <f t="shared" si="20"/>
        <v>167</v>
      </c>
      <c r="G169" s="8">
        <f t="shared" si="23"/>
        <v>0</v>
      </c>
      <c r="H169" s="8">
        <f t="shared" si="24"/>
        <v>626.4264176882898</v>
      </c>
      <c r="I169" s="8">
        <f t="shared" si="27"/>
        <v>5.0570567075315944</v>
      </c>
      <c r="J169" s="8">
        <f t="shared" si="25"/>
        <v>1000</v>
      </c>
      <c r="K169" s="8">
        <f t="shared" si="26"/>
        <v>1.5963566857386284</v>
      </c>
      <c r="L169" s="8">
        <f t="shared" si="21"/>
        <v>50</v>
      </c>
      <c r="M169" s="8">
        <f t="shared" si="22"/>
        <v>79.817834286931415</v>
      </c>
      <c r="N169" s="8">
        <f t="shared" si="19"/>
        <v>0.79817834286931411</v>
      </c>
    </row>
    <row r="170" spans="1:14" s="5" customFormat="1" ht="13.2" x14ac:dyDescent="0.3">
      <c r="A170" s="6"/>
      <c r="E170" s="5">
        <v>168</v>
      </c>
      <c r="F170" s="5">
        <f t="shared" si="20"/>
        <v>168</v>
      </c>
      <c r="G170" s="8">
        <f t="shared" si="23"/>
        <v>13.798991729154672</v>
      </c>
      <c r="H170" s="8">
        <f t="shared" si="24"/>
        <v>621.36936098075819</v>
      </c>
      <c r="I170" s="8">
        <f t="shared" si="27"/>
        <v>0</v>
      </c>
      <c r="J170" s="8">
        <f t="shared" si="25"/>
        <v>1600</v>
      </c>
      <c r="K170" s="8">
        <f t="shared" si="26"/>
        <v>2.574957988714778</v>
      </c>
      <c r="L170" s="8">
        <f t="shared" si="21"/>
        <v>50</v>
      </c>
      <c r="M170" s="8">
        <f t="shared" si="22"/>
        <v>128.7478994357389</v>
      </c>
      <c r="N170" s="8">
        <f t="shared" si="19"/>
        <v>1.287478994357389</v>
      </c>
    </row>
    <row r="171" spans="1:14" s="5" customFormat="1" ht="13.2" x14ac:dyDescent="0.3">
      <c r="A171" s="6"/>
      <c r="E171" s="5">
        <v>169</v>
      </c>
      <c r="F171" s="5">
        <f t="shared" si="20"/>
        <v>169</v>
      </c>
      <c r="G171" s="8">
        <f t="shared" si="23"/>
        <v>0</v>
      </c>
      <c r="H171" s="8">
        <f t="shared" si="24"/>
        <v>635.16835270991282</v>
      </c>
      <c r="I171" s="8">
        <f t="shared" si="27"/>
        <v>5.4067341083965124</v>
      </c>
      <c r="J171" s="8">
        <f t="shared" si="25"/>
        <v>1000</v>
      </c>
      <c r="K171" s="8">
        <f t="shared" si="26"/>
        <v>1.5743857447140619</v>
      </c>
      <c r="L171" s="8">
        <f t="shared" si="21"/>
        <v>50</v>
      </c>
      <c r="M171" s="8">
        <f t="shared" si="22"/>
        <v>78.719287235703092</v>
      </c>
      <c r="N171" s="8">
        <f t="shared" si="19"/>
        <v>0.78719287235703095</v>
      </c>
    </row>
    <row r="172" spans="1:14" s="5" customFormat="1" ht="13.2" x14ac:dyDescent="0.3">
      <c r="A172" s="6"/>
      <c r="E172" s="5">
        <v>170</v>
      </c>
      <c r="F172" s="5">
        <f t="shared" si="20"/>
        <v>170</v>
      </c>
      <c r="G172" s="8">
        <f t="shared" si="23"/>
        <v>0</v>
      </c>
      <c r="H172" s="8">
        <f t="shared" si="24"/>
        <v>629.76161860151626</v>
      </c>
      <c r="I172" s="8">
        <f t="shared" si="27"/>
        <v>5.1904647440606508</v>
      </c>
      <c r="J172" s="8">
        <f t="shared" si="25"/>
        <v>1000</v>
      </c>
      <c r="K172" s="8">
        <f t="shared" si="26"/>
        <v>1.5879024228574865</v>
      </c>
      <c r="L172" s="8">
        <f t="shared" si="21"/>
        <v>50</v>
      </c>
      <c r="M172" s="8">
        <f t="shared" si="22"/>
        <v>79.395121142874331</v>
      </c>
      <c r="N172" s="8">
        <f t="shared" si="19"/>
        <v>0.79395121142874325</v>
      </c>
    </row>
    <row r="173" spans="1:14" s="5" customFormat="1" ht="13.2" x14ac:dyDescent="0.3">
      <c r="A173" s="6"/>
      <c r="E173" s="5">
        <v>171</v>
      </c>
      <c r="F173" s="5">
        <f t="shared" si="20"/>
        <v>171</v>
      </c>
      <c r="G173" s="8">
        <f t="shared" si="23"/>
        <v>13.482186237445006</v>
      </c>
      <c r="H173" s="8">
        <f t="shared" si="24"/>
        <v>624.57115385745556</v>
      </c>
      <c r="I173" s="8">
        <f t="shared" si="27"/>
        <v>0</v>
      </c>
      <c r="J173" s="8">
        <f t="shared" si="25"/>
        <v>1600</v>
      </c>
      <c r="K173" s="8">
        <f t="shared" si="26"/>
        <v>2.5617577598935419</v>
      </c>
      <c r="L173" s="8">
        <f t="shared" si="21"/>
        <v>50</v>
      </c>
      <c r="M173" s="8">
        <f t="shared" si="22"/>
        <v>128.08788799467709</v>
      </c>
      <c r="N173" s="8">
        <f t="shared" si="19"/>
        <v>1.280878879946771</v>
      </c>
    </row>
    <row r="174" spans="1:14" s="5" customFormat="1" ht="13.2" x14ac:dyDescent="0.3">
      <c r="A174" s="6"/>
      <c r="E174" s="5">
        <v>172</v>
      </c>
      <c r="F174" s="5">
        <f t="shared" si="20"/>
        <v>172</v>
      </c>
      <c r="G174" s="8">
        <f t="shared" si="23"/>
        <v>0</v>
      </c>
      <c r="H174" s="8">
        <f t="shared" si="24"/>
        <v>638.05334009490059</v>
      </c>
      <c r="I174" s="8">
        <f t="shared" si="27"/>
        <v>5.522133603796024</v>
      </c>
      <c r="J174" s="8">
        <f t="shared" si="25"/>
        <v>1000</v>
      </c>
      <c r="K174" s="8">
        <f t="shared" si="26"/>
        <v>1.567267087499715</v>
      </c>
      <c r="L174" s="8">
        <f t="shared" si="21"/>
        <v>50</v>
      </c>
      <c r="M174" s="8">
        <f t="shared" si="22"/>
        <v>78.363354374985747</v>
      </c>
      <c r="N174" s="8">
        <f t="shared" si="19"/>
        <v>0.7836335437498575</v>
      </c>
    </row>
    <row r="175" spans="1:14" s="5" customFormat="1" ht="13.2" x14ac:dyDescent="0.3">
      <c r="A175" s="6"/>
      <c r="E175" s="5">
        <v>173</v>
      </c>
      <c r="F175" s="5">
        <f t="shared" si="20"/>
        <v>173</v>
      </c>
      <c r="G175" s="8">
        <f t="shared" si="23"/>
        <v>0</v>
      </c>
      <c r="H175" s="8">
        <f t="shared" si="24"/>
        <v>632.53120649110451</v>
      </c>
      <c r="I175" s="8">
        <f t="shared" si="27"/>
        <v>5.3012482596441828</v>
      </c>
      <c r="J175" s="8">
        <f t="shared" si="25"/>
        <v>1000</v>
      </c>
      <c r="K175" s="8">
        <f t="shared" si="26"/>
        <v>1.580949666574377</v>
      </c>
      <c r="L175" s="8">
        <f t="shared" si="21"/>
        <v>49.999999999999993</v>
      </c>
      <c r="M175" s="8">
        <f t="shared" si="22"/>
        <v>79.04748332871884</v>
      </c>
      <c r="N175" s="8">
        <f t="shared" si="19"/>
        <v>0.79047483328718837</v>
      </c>
    </row>
    <row r="176" spans="1:14" s="5" customFormat="1" ht="13.2" x14ac:dyDescent="0.3">
      <c r="A176" s="6"/>
      <c r="E176" s="5">
        <v>174</v>
      </c>
      <c r="F176" s="5">
        <f t="shared" si="20"/>
        <v>174</v>
      </c>
      <c r="G176" s="8">
        <f t="shared" si="23"/>
        <v>13.221565545550092</v>
      </c>
      <c r="H176" s="8">
        <f t="shared" si="24"/>
        <v>627.22995823146039</v>
      </c>
      <c r="I176" s="8">
        <f t="shared" si="27"/>
        <v>0</v>
      </c>
      <c r="J176" s="8">
        <f t="shared" si="25"/>
        <v>1600</v>
      </c>
      <c r="K176" s="8">
        <f t="shared" si="26"/>
        <v>2.5508985643979205</v>
      </c>
      <c r="L176" s="8">
        <f t="shared" si="21"/>
        <v>50</v>
      </c>
      <c r="M176" s="8">
        <f t="shared" si="22"/>
        <v>127.54492821989602</v>
      </c>
      <c r="N176" s="8">
        <f t="shared" si="19"/>
        <v>1.2754492821989603</v>
      </c>
    </row>
    <row r="177" spans="1:14" s="5" customFormat="1" ht="13.2" x14ac:dyDescent="0.3">
      <c r="A177" s="6"/>
      <c r="E177" s="5">
        <v>175</v>
      </c>
      <c r="F177" s="5">
        <f t="shared" si="20"/>
        <v>175</v>
      </c>
      <c r="G177" s="8">
        <f t="shared" si="23"/>
        <v>0</v>
      </c>
      <c r="H177" s="8">
        <f t="shared" si="24"/>
        <v>640.45152377701049</v>
      </c>
      <c r="I177" s="8">
        <f t="shared" si="27"/>
        <v>17.61806095108042</v>
      </c>
      <c r="J177" s="8">
        <f t="shared" si="25"/>
        <v>400</v>
      </c>
      <c r="K177" s="8">
        <f t="shared" si="26"/>
        <v>0.62455936967880521</v>
      </c>
      <c r="L177" s="8">
        <f t="shared" si="21"/>
        <v>50</v>
      </c>
      <c r="M177" s="8">
        <f t="shared" si="22"/>
        <v>31.227968483940259</v>
      </c>
      <c r="N177" s="8">
        <f t="shared" si="19"/>
        <v>0.3122796848394026</v>
      </c>
    </row>
    <row r="178" spans="1:14" s="5" customFormat="1" ht="13.2" x14ac:dyDescent="0.3">
      <c r="A178" s="6"/>
      <c r="E178" s="5">
        <v>176</v>
      </c>
      <c r="F178" s="5">
        <f t="shared" si="20"/>
        <v>176</v>
      </c>
      <c r="G178" s="8">
        <f t="shared" si="23"/>
        <v>0</v>
      </c>
      <c r="H178" s="8">
        <f t="shared" si="24"/>
        <v>622.83346282593004</v>
      </c>
      <c r="I178" s="8">
        <f t="shared" si="27"/>
        <v>4.9133385130372025</v>
      </c>
      <c r="J178" s="8">
        <f t="shared" si="25"/>
        <v>1000</v>
      </c>
      <c r="K178" s="8">
        <f t="shared" si="26"/>
        <v>1.6055656281902129</v>
      </c>
      <c r="L178" s="8">
        <f t="shared" si="21"/>
        <v>50</v>
      </c>
      <c r="M178" s="8">
        <f t="shared" si="22"/>
        <v>80.27828140951064</v>
      </c>
      <c r="N178" s="8">
        <f t="shared" si="19"/>
        <v>0.80278281409510643</v>
      </c>
    </row>
    <row r="179" spans="1:14" s="5" customFormat="1" ht="13.2" x14ac:dyDescent="0.3">
      <c r="A179" s="6"/>
      <c r="E179" s="5">
        <v>177</v>
      </c>
      <c r="F179" s="5">
        <f t="shared" si="20"/>
        <v>177</v>
      </c>
      <c r="G179" s="8">
        <f t="shared" si="23"/>
        <v>14.143954354455705</v>
      </c>
      <c r="H179" s="8">
        <f t="shared" si="24"/>
        <v>617.92012431289288</v>
      </c>
      <c r="I179" s="8">
        <f t="shared" si="27"/>
        <v>0</v>
      </c>
      <c r="J179" s="8">
        <f t="shared" si="25"/>
        <v>1600</v>
      </c>
      <c r="K179" s="8">
        <f t="shared" si="26"/>
        <v>2.5893314314356535</v>
      </c>
      <c r="L179" s="8">
        <f t="shared" si="21"/>
        <v>50.000000000000014</v>
      </c>
      <c r="M179" s="8">
        <f t="shared" si="22"/>
        <v>129.46657157178271</v>
      </c>
      <c r="N179" s="8">
        <f t="shared" si="19"/>
        <v>1.2946657157178272</v>
      </c>
    </row>
    <row r="180" spans="1:14" s="5" customFormat="1" ht="13.2" x14ac:dyDescent="0.3">
      <c r="A180" s="6"/>
      <c r="E180" s="5">
        <v>178</v>
      </c>
      <c r="F180" s="5">
        <f t="shared" si="20"/>
        <v>178</v>
      </c>
      <c r="G180" s="8">
        <f t="shared" si="23"/>
        <v>0</v>
      </c>
      <c r="H180" s="8">
        <f t="shared" si="24"/>
        <v>632.06407866734855</v>
      </c>
      <c r="I180" s="8">
        <f t="shared" si="27"/>
        <v>5.2825631466939429</v>
      </c>
      <c r="J180" s="8">
        <f t="shared" si="25"/>
        <v>1000</v>
      </c>
      <c r="K180" s="8">
        <f t="shared" si="26"/>
        <v>1.5821180695925829</v>
      </c>
      <c r="L180" s="8">
        <f t="shared" si="21"/>
        <v>50</v>
      </c>
      <c r="M180" s="8">
        <f t="shared" si="22"/>
        <v>79.105903479629148</v>
      </c>
      <c r="N180" s="8">
        <f t="shared" si="19"/>
        <v>0.79105903479629147</v>
      </c>
    </row>
    <row r="181" spans="1:14" s="5" customFormat="1" ht="13.2" x14ac:dyDescent="0.3">
      <c r="A181" s="6"/>
      <c r="E181" s="5">
        <v>179</v>
      </c>
      <c r="F181" s="5">
        <f t="shared" si="20"/>
        <v>179</v>
      </c>
      <c r="G181" s="8">
        <f t="shared" si="23"/>
        <v>0</v>
      </c>
      <c r="H181" s="8">
        <f t="shared" si="24"/>
        <v>626.78151552065458</v>
      </c>
      <c r="I181" s="8">
        <f t="shared" si="27"/>
        <v>5.0712606208261786</v>
      </c>
      <c r="J181" s="8">
        <f t="shared" si="25"/>
        <v>1000</v>
      </c>
      <c r="K181" s="8">
        <f t="shared" si="26"/>
        <v>1.5954522831920472</v>
      </c>
      <c r="L181" s="8">
        <f t="shared" si="21"/>
        <v>50.000000000000014</v>
      </c>
      <c r="M181" s="8">
        <f t="shared" si="22"/>
        <v>79.772614159602384</v>
      </c>
      <c r="N181" s="8">
        <f t="shared" si="19"/>
        <v>0.79772614159602384</v>
      </c>
    </row>
    <row r="182" spans="1:14" s="5" customFormat="1" ht="13.2" x14ac:dyDescent="0.3">
      <c r="A182" s="6"/>
      <c r="E182" s="5">
        <v>180</v>
      </c>
      <c r="F182" s="5">
        <f t="shared" si="20"/>
        <v>180</v>
      </c>
      <c r="G182" s="8">
        <f t="shared" si="23"/>
        <v>13.765106329454238</v>
      </c>
      <c r="H182" s="8">
        <f t="shared" si="24"/>
        <v>621.71025489982844</v>
      </c>
      <c r="I182" s="8">
        <f t="shared" si="27"/>
        <v>0</v>
      </c>
      <c r="J182" s="8">
        <f t="shared" si="25"/>
        <v>1600</v>
      </c>
      <c r="K182" s="8">
        <f t="shared" si="26"/>
        <v>2.5735460970605932</v>
      </c>
      <c r="L182" s="8">
        <f t="shared" si="21"/>
        <v>50</v>
      </c>
      <c r="M182" s="8">
        <f t="shared" si="22"/>
        <v>128.67730485302965</v>
      </c>
      <c r="N182" s="8">
        <f t="shared" si="19"/>
        <v>1.2867730485302966</v>
      </c>
    </row>
    <row r="183" spans="1:14" s="5" customFormat="1" ht="13.2" x14ac:dyDescent="0.3">
      <c r="A183" s="6"/>
      <c r="E183" s="5">
        <v>181</v>
      </c>
      <c r="F183" s="5">
        <f t="shared" si="20"/>
        <v>181</v>
      </c>
      <c r="G183" s="8">
        <f t="shared" si="23"/>
        <v>0</v>
      </c>
      <c r="H183" s="8">
        <f t="shared" si="24"/>
        <v>635.47536122928273</v>
      </c>
      <c r="I183" s="8">
        <f t="shared" si="27"/>
        <v>5.4190144491713097</v>
      </c>
      <c r="J183" s="8">
        <f t="shared" si="25"/>
        <v>1000</v>
      </c>
      <c r="K183" s="8">
        <f t="shared" si="26"/>
        <v>1.5736251332633413</v>
      </c>
      <c r="L183" s="8">
        <f t="shared" si="21"/>
        <v>50</v>
      </c>
      <c r="M183" s="8">
        <f t="shared" si="22"/>
        <v>78.681256663167062</v>
      </c>
      <c r="N183" s="8">
        <f t="shared" si="19"/>
        <v>0.78681256663167065</v>
      </c>
    </row>
    <row r="184" spans="1:14" s="5" customFormat="1" ht="13.2" x14ac:dyDescent="0.3">
      <c r="A184" s="6"/>
      <c r="E184" s="5">
        <v>182</v>
      </c>
      <c r="F184" s="5">
        <f t="shared" si="20"/>
        <v>182</v>
      </c>
      <c r="G184" s="8">
        <f t="shared" si="23"/>
        <v>0</v>
      </c>
      <c r="H184" s="8">
        <f t="shared" si="24"/>
        <v>630.05634678011143</v>
      </c>
      <c r="I184" s="8">
        <f t="shared" si="27"/>
        <v>17.202253871204455</v>
      </c>
      <c r="J184" s="8">
        <f t="shared" si="25"/>
        <v>400</v>
      </c>
      <c r="K184" s="8">
        <f t="shared" si="26"/>
        <v>0.63486385312074212</v>
      </c>
      <c r="L184" s="8">
        <f t="shared" si="21"/>
        <v>50</v>
      </c>
      <c r="M184" s="8">
        <f t="shared" si="22"/>
        <v>31.743192656037106</v>
      </c>
      <c r="N184" s="8">
        <f t="shared" si="19"/>
        <v>0.31743192656037106</v>
      </c>
    </row>
    <row r="185" spans="1:14" s="5" customFormat="1" ht="13.2" x14ac:dyDescent="0.3">
      <c r="A185" s="6"/>
      <c r="E185" s="5">
        <v>183</v>
      </c>
      <c r="F185" s="5">
        <f t="shared" si="20"/>
        <v>183</v>
      </c>
      <c r="G185" s="8">
        <f t="shared" si="23"/>
        <v>14.657654479771377</v>
      </c>
      <c r="H185" s="8">
        <f t="shared" si="24"/>
        <v>612.85409290890698</v>
      </c>
      <c r="I185" s="8">
        <f t="shared" si="27"/>
        <v>0</v>
      </c>
      <c r="J185" s="8">
        <f t="shared" si="25"/>
        <v>1600</v>
      </c>
      <c r="K185" s="8">
        <f t="shared" si="26"/>
        <v>2.6107356033238074</v>
      </c>
      <c r="L185" s="8">
        <f t="shared" si="21"/>
        <v>50</v>
      </c>
      <c r="M185" s="8">
        <f t="shared" si="22"/>
        <v>130.53678016619037</v>
      </c>
      <c r="N185" s="8">
        <f t="shared" si="19"/>
        <v>1.3053678016619037</v>
      </c>
    </row>
    <row r="186" spans="1:14" s="5" customFormat="1" ht="13.2" x14ac:dyDescent="0.3">
      <c r="A186" s="6"/>
      <c r="E186" s="5">
        <v>184</v>
      </c>
      <c r="F186" s="5">
        <f t="shared" si="20"/>
        <v>184</v>
      </c>
      <c r="G186" s="8">
        <f t="shared" si="23"/>
        <v>0</v>
      </c>
      <c r="H186" s="8">
        <f t="shared" si="24"/>
        <v>627.51174738867837</v>
      </c>
      <c r="I186" s="8">
        <f t="shared" si="27"/>
        <v>5.1004698955471346</v>
      </c>
      <c r="J186" s="8">
        <f t="shared" si="25"/>
        <v>1000</v>
      </c>
      <c r="K186" s="8">
        <f t="shared" si="26"/>
        <v>1.5935956644021261</v>
      </c>
      <c r="L186" s="8">
        <f t="shared" si="21"/>
        <v>50</v>
      </c>
      <c r="M186" s="8">
        <f t="shared" si="22"/>
        <v>79.679783220106302</v>
      </c>
      <c r="N186" s="8">
        <f t="shared" si="19"/>
        <v>0.79679783220106304</v>
      </c>
    </row>
    <row r="187" spans="1:14" s="5" customFormat="1" ht="13.2" x14ac:dyDescent="0.3">
      <c r="A187" s="6"/>
      <c r="E187" s="5">
        <v>185</v>
      </c>
      <c r="F187" s="5">
        <f t="shared" si="20"/>
        <v>185</v>
      </c>
      <c r="G187" s="8">
        <f t="shared" si="23"/>
        <v>0</v>
      </c>
      <c r="H187" s="8">
        <f t="shared" si="24"/>
        <v>622.41127749313125</v>
      </c>
      <c r="I187" s="8">
        <f t="shared" si="27"/>
        <v>4.8964510997252502</v>
      </c>
      <c r="J187" s="8">
        <f t="shared" si="25"/>
        <v>1000</v>
      </c>
      <c r="K187" s="8">
        <f t="shared" si="26"/>
        <v>1.6066546930635197</v>
      </c>
      <c r="L187" s="8">
        <f t="shared" si="21"/>
        <v>50</v>
      </c>
      <c r="M187" s="8">
        <f t="shared" si="22"/>
        <v>80.33273465317599</v>
      </c>
      <c r="N187" s="8">
        <f t="shared" si="19"/>
        <v>0.80332734653175986</v>
      </c>
    </row>
    <row r="188" spans="1:14" s="5" customFormat="1" ht="13.2" x14ac:dyDescent="0.3">
      <c r="A188" s="6"/>
      <c r="E188" s="5">
        <v>186</v>
      </c>
      <c r="F188" s="5">
        <f t="shared" si="20"/>
        <v>186</v>
      </c>
      <c r="G188" s="8">
        <f t="shared" si="23"/>
        <v>14.184741740170207</v>
      </c>
      <c r="H188" s="8">
        <f t="shared" si="24"/>
        <v>617.514826393406</v>
      </c>
      <c r="I188" s="8">
        <f t="shared" si="27"/>
        <v>0</v>
      </c>
      <c r="J188" s="8">
        <f t="shared" si="25"/>
        <v>1600</v>
      </c>
      <c r="K188" s="8">
        <f t="shared" si="26"/>
        <v>2.5910309058404257</v>
      </c>
      <c r="L188" s="8">
        <f t="shared" si="21"/>
        <v>50</v>
      </c>
      <c r="M188" s="8">
        <f t="shared" si="22"/>
        <v>129.55154529202127</v>
      </c>
      <c r="N188" s="8">
        <f t="shared" si="19"/>
        <v>1.2955154529202126</v>
      </c>
    </row>
    <row r="189" spans="1:14" s="5" customFormat="1" ht="13.2" x14ac:dyDescent="0.3">
      <c r="A189" s="6"/>
      <c r="E189" s="5">
        <v>187</v>
      </c>
      <c r="F189" s="5">
        <f t="shared" si="20"/>
        <v>187</v>
      </c>
      <c r="G189" s="8">
        <f t="shared" si="23"/>
        <v>0</v>
      </c>
      <c r="H189" s="8">
        <f t="shared" si="24"/>
        <v>631.69956813357624</v>
      </c>
      <c r="I189" s="8">
        <f t="shared" si="27"/>
        <v>5.2679827253430487</v>
      </c>
      <c r="J189" s="8">
        <f t="shared" si="25"/>
        <v>1000</v>
      </c>
      <c r="K189" s="8">
        <f t="shared" si="26"/>
        <v>1.5830310015164435</v>
      </c>
      <c r="L189" s="8">
        <f t="shared" si="21"/>
        <v>50</v>
      </c>
      <c r="M189" s="8">
        <f t="shared" si="22"/>
        <v>79.151550075822172</v>
      </c>
      <c r="N189" s="8">
        <f t="shared" si="19"/>
        <v>0.79151550075822175</v>
      </c>
    </row>
    <row r="190" spans="1:14" s="5" customFormat="1" ht="13.2" x14ac:dyDescent="0.3">
      <c r="A190" s="6"/>
      <c r="E190" s="5">
        <v>188</v>
      </c>
      <c r="F190" s="5">
        <f t="shared" si="20"/>
        <v>188</v>
      </c>
      <c r="G190" s="8">
        <f t="shared" si="23"/>
        <v>0</v>
      </c>
      <c r="H190" s="8">
        <f t="shared" si="24"/>
        <v>626.43158540823322</v>
      </c>
      <c r="I190" s="8">
        <f t="shared" si="27"/>
        <v>5.0572634163293246</v>
      </c>
      <c r="J190" s="8">
        <f t="shared" si="25"/>
        <v>1000</v>
      </c>
      <c r="K190" s="8">
        <f t="shared" si="26"/>
        <v>1.5963435166640256</v>
      </c>
      <c r="L190" s="8">
        <f t="shared" si="21"/>
        <v>50.000000000000014</v>
      </c>
      <c r="M190" s="8">
        <f t="shared" si="22"/>
        <v>79.817175833201304</v>
      </c>
      <c r="N190" s="8">
        <f t="shared" si="19"/>
        <v>0.79817175833201304</v>
      </c>
    </row>
    <row r="191" spans="1:14" s="5" customFormat="1" ht="13.2" x14ac:dyDescent="0.3">
      <c r="A191" s="6"/>
      <c r="E191" s="5">
        <v>189</v>
      </c>
      <c r="F191" s="5">
        <f t="shared" si="20"/>
        <v>189</v>
      </c>
      <c r="G191" s="8">
        <f t="shared" si="23"/>
        <v>13.798498330126254</v>
      </c>
      <c r="H191" s="8">
        <f t="shared" si="24"/>
        <v>621.37432199190391</v>
      </c>
      <c r="I191" s="8">
        <f t="shared" si="27"/>
        <v>0</v>
      </c>
      <c r="J191" s="8">
        <f t="shared" si="25"/>
        <v>1600</v>
      </c>
      <c r="K191" s="8">
        <f t="shared" si="26"/>
        <v>2.5749374304219268</v>
      </c>
      <c r="L191" s="8">
        <f t="shared" si="21"/>
        <v>50</v>
      </c>
      <c r="M191" s="8">
        <f t="shared" si="22"/>
        <v>128.74687152109635</v>
      </c>
      <c r="N191" s="8">
        <f t="shared" si="19"/>
        <v>1.2874687152109636</v>
      </c>
    </row>
    <row r="192" spans="1:14" s="5" customFormat="1" ht="13.2" x14ac:dyDescent="0.3">
      <c r="A192" s="6"/>
      <c r="E192" s="5">
        <v>190</v>
      </c>
      <c r="F192" s="5">
        <f t="shared" si="20"/>
        <v>190</v>
      </c>
      <c r="G192" s="8">
        <f t="shared" si="23"/>
        <v>0</v>
      </c>
      <c r="H192" s="8">
        <f t="shared" si="24"/>
        <v>635.17282032203013</v>
      </c>
      <c r="I192" s="8">
        <f t="shared" si="27"/>
        <v>5.4069128128812043</v>
      </c>
      <c r="J192" s="8">
        <f t="shared" si="25"/>
        <v>1000</v>
      </c>
      <c r="K192" s="8">
        <f t="shared" si="26"/>
        <v>1.5743746709643589</v>
      </c>
      <c r="L192" s="8">
        <f t="shared" si="21"/>
        <v>50</v>
      </c>
      <c r="M192" s="8">
        <f t="shared" si="22"/>
        <v>78.718733548217941</v>
      </c>
      <c r="N192" s="8">
        <f t="shared" si="19"/>
        <v>0.78718733548217945</v>
      </c>
    </row>
    <row r="193" spans="1:14" s="5" customFormat="1" ht="13.2" x14ac:dyDescent="0.3">
      <c r="A193" s="6"/>
      <c r="E193" s="5">
        <v>191</v>
      </c>
      <c r="F193" s="5">
        <f t="shared" si="20"/>
        <v>191</v>
      </c>
      <c r="G193" s="8">
        <f t="shared" si="23"/>
        <v>0</v>
      </c>
      <c r="H193" s="8">
        <f t="shared" si="24"/>
        <v>629.76590750914897</v>
      </c>
      <c r="I193" s="8">
        <f t="shared" si="27"/>
        <v>5.190636300365961</v>
      </c>
      <c r="J193" s="8">
        <f t="shared" si="25"/>
        <v>1000</v>
      </c>
      <c r="K193" s="8">
        <f t="shared" si="26"/>
        <v>1.5878916087331585</v>
      </c>
      <c r="L193" s="8">
        <f t="shared" si="21"/>
        <v>49.999999999999993</v>
      </c>
      <c r="M193" s="8">
        <f t="shared" si="22"/>
        <v>79.394580436657918</v>
      </c>
      <c r="N193" s="8">
        <f t="shared" si="19"/>
        <v>0.79394580436657913</v>
      </c>
    </row>
    <row r="194" spans="1:14" s="5" customFormat="1" ht="13.2" x14ac:dyDescent="0.3">
      <c r="A194" s="6"/>
      <c r="E194" s="5">
        <v>192</v>
      </c>
      <c r="F194" s="5">
        <f t="shared" si="20"/>
        <v>192</v>
      </c>
      <c r="G194" s="8">
        <f t="shared" si="23"/>
        <v>13.481780931995377</v>
      </c>
      <c r="H194" s="8">
        <f t="shared" si="24"/>
        <v>624.57527120878297</v>
      </c>
      <c r="I194" s="8">
        <f t="shared" si="27"/>
        <v>0</v>
      </c>
      <c r="J194" s="8">
        <f t="shared" si="25"/>
        <v>1600</v>
      </c>
      <c r="K194" s="8">
        <f t="shared" si="26"/>
        <v>2.5617408721664745</v>
      </c>
      <c r="L194" s="8">
        <f t="shared" si="21"/>
        <v>50</v>
      </c>
      <c r="M194" s="8">
        <f t="shared" si="22"/>
        <v>128.08704360832371</v>
      </c>
      <c r="N194" s="8">
        <f t="shared" ref="N194:N202" si="28">M194/$B$10</f>
        <v>1.280870436083237</v>
      </c>
    </row>
    <row r="195" spans="1:14" s="5" customFormat="1" ht="13.2" x14ac:dyDescent="0.3">
      <c r="A195" s="6"/>
      <c r="E195" s="5">
        <v>193</v>
      </c>
      <c r="F195" s="5">
        <f t="shared" ref="F195:F202" si="29">E195*$B$2</f>
        <v>193</v>
      </c>
      <c r="G195" s="8">
        <f t="shared" si="23"/>
        <v>0</v>
      </c>
      <c r="H195" s="8">
        <f t="shared" si="24"/>
        <v>638.0570521407783</v>
      </c>
      <c r="I195" s="8">
        <f t="shared" si="27"/>
        <v>5.5222820856311277</v>
      </c>
      <c r="J195" s="8">
        <f t="shared" si="25"/>
        <v>1000</v>
      </c>
      <c r="K195" s="8">
        <f t="shared" si="26"/>
        <v>1.5672579695574997</v>
      </c>
      <c r="L195" s="8">
        <f t="shared" ref="L195:L202" si="30">$B$8*(J195/(H195*K195))</f>
        <v>50.000000000000014</v>
      </c>
      <c r="M195" s="8">
        <f t="shared" ref="M195:M202" si="31">K195*L195</f>
        <v>78.362898477875007</v>
      </c>
      <c r="N195" s="8">
        <f t="shared" si="28"/>
        <v>0.78362898477875009</v>
      </c>
    </row>
    <row r="196" spans="1:14" s="5" customFormat="1" ht="13.2" x14ac:dyDescent="0.3">
      <c r="A196" s="6"/>
      <c r="E196" s="5">
        <v>194</v>
      </c>
      <c r="F196" s="5">
        <f t="shared" si="29"/>
        <v>194</v>
      </c>
      <c r="G196" s="8">
        <f t="shared" ref="G196:G202" si="32">MAX(0,IF(N196&gt;=1,J196*$B$4*$B$2*(N196-1),0))</f>
        <v>0</v>
      </c>
      <c r="H196" s="8">
        <f t="shared" ref="H196:H202" si="33">H195+(G195-I195)</f>
        <v>632.53477005514719</v>
      </c>
      <c r="I196" s="8">
        <f t="shared" si="27"/>
        <v>5.3013908022058835</v>
      </c>
      <c r="J196" s="8">
        <f t="shared" ref="J196:J202" si="34">IF(MOD(F196,3)=0,$B$6+$B$6*$B$12,IF(MOD(F196,7)=0,$B$6-$B$6*$B$12,$B$6))</f>
        <v>1000</v>
      </c>
      <c r="K196" s="8">
        <f t="shared" ref="K196:K202" si="35">MIN($B$11,J196/H196)</f>
        <v>1.580940759846001</v>
      </c>
      <c r="L196" s="8">
        <f t="shared" si="30"/>
        <v>50.000000000000014</v>
      </c>
      <c r="M196" s="8">
        <f t="shared" si="31"/>
        <v>79.047037992300076</v>
      </c>
      <c r="N196" s="8">
        <f t="shared" si="28"/>
        <v>0.79047037992300073</v>
      </c>
    </row>
    <row r="197" spans="1:14" s="5" customFormat="1" ht="13.2" x14ac:dyDescent="0.3">
      <c r="A197" s="6"/>
      <c r="E197" s="5">
        <v>195</v>
      </c>
      <c r="F197" s="5">
        <f t="shared" si="29"/>
        <v>195</v>
      </c>
      <c r="G197" s="8">
        <f t="shared" si="32"/>
        <v>13.221231634285555</v>
      </c>
      <c r="H197" s="8">
        <f t="shared" si="33"/>
        <v>627.23337925294129</v>
      </c>
      <c r="I197" s="8">
        <f t="shared" si="27"/>
        <v>0</v>
      </c>
      <c r="J197" s="8">
        <f t="shared" si="34"/>
        <v>1600</v>
      </c>
      <c r="K197" s="8">
        <f t="shared" si="35"/>
        <v>2.5508846514285648</v>
      </c>
      <c r="L197" s="8">
        <f t="shared" si="30"/>
        <v>50</v>
      </c>
      <c r="M197" s="8">
        <f t="shared" si="31"/>
        <v>127.54423257142824</v>
      </c>
      <c r="N197" s="8">
        <f t="shared" si="28"/>
        <v>1.2754423257142824</v>
      </c>
    </row>
    <row r="198" spans="1:14" s="5" customFormat="1" ht="13.2" x14ac:dyDescent="0.3">
      <c r="A198" s="6"/>
      <c r="E198" s="5">
        <v>196</v>
      </c>
      <c r="F198" s="5">
        <f t="shared" si="29"/>
        <v>196</v>
      </c>
      <c r="G198" s="8">
        <f t="shared" si="32"/>
        <v>0</v>
      </c>
      <c r="H198" s="8">
        <f t="shared" si="33"/>
        <v>640.45461088722686</v>
      </c>
      <c r="I198" s="8">
        <f t="shared" si="27"/>
        <v>17.618184435489074</v>
      </c>
      <c r="J198" s="8">
        <f t="shared" si="34"/>
        <v>400</v>
      </c>
      <c r="K198" s="8">
        <f t="shared" si="35"/>
        <v>0.62455635918660468</v>
      </c>
      <c r="L198" s="8">
        <f t="shared" si="30"/>
        <v>50</v>
      </c>
      <c r="M198" s="8">
        <f t="shared" si="31"/>
        <v>31.227817959330235</v>
      </c>
      <c r="N198" s="8">
        <f t="shared" si="28"/>
        <v>0.31227817959330234</v>
      </c>
    </row>
    <row r="199" spans="1:14" s="5" customFormat="1" ht="13.2" x14ac:dyDescent="0.3">
      <c r="A199" s="6"/>
      <c r="E199" s="5">
        <v>197</v>
      </c>
      <c r="F199" s="5">
        <f t="shared" si="29"/>
        <v>197</v>
      </c>
      <c r="G199" s="8">
        <f t="shared" si="32"/>
        <v>0</v>
      </c>
      <c r="H199" s="8">
        <f t="shared" si="33"/>
        <v>622.83642645173779</v>
      </c>
      <c r="I199" s="8">
        <f t="shared" si="27"/>
        <v>4.9134570580695085</v>
      </c>
      <c r="J199" s="8">
        <f t="shared" si="34"/>
        <v>1000</v>
      </c>
      <c r="K199" s="8">
        <f t="shared" si="35"/>
        <v>1.6055579884704894</v>
      </c>
      <c r="L199" s="8">
        <f t="shared" si="30"/>
        <v>50</v>
      </c>
      <c r="M199" s="8">
        <f t="shared" si="31"/>
        <v>80.277899423524474</v>
      </c>
      <c r="N199" s="8">
        <f t="shared" si="28"/>
        <v>0.80277899423524479</v>
      </c>
    </row>
    <row r="200" spans="1:14" s="5" customFormat="1" ht="13.2" x14ac:dyDescent="0.3">
      <c r="A200" s="6"/>
      <c r="E200" s="5">
        <v>198</v>
      </c>
      <c r="F200" s="5">
        <f t="shared" si="29"/>
        <v>198</v>
      </c>
      <c r="G200" s="8">
        <f t="shared" si="32"/>
        <v>14.143668227254423</v>
      </c>
      <c r="H200" s="8">
        <f t="shared" si="33"/>
        <v>617.92296939366827</v>
      </c>
      <c r="I200" s="8">
        <f t="shared" si="27"/>
        <v>0</v>
      </c>
      <c r="J200" s="8">
        <f t="shared" si="34"/>
        <v>1600</v>
      </c>
      <c r="K200" s="8">
        <f t="shared" si="35"/>
        <v>2.5893195094689334</v>
      </c>
      <c r="L200" s="8">
        <f t="shared" si="30"/>
        <v>50.000000000000014</v>
      </c>
      <c r="M200" s="8">
        <f t="shared" si="31"/>
        <v>129.46597547344672</v>
      </c>
      <c r="N200" s="8">
        <f t="shared" si="28"/>
        <v>1.2946597547344671</v>
      </c>
    </row>
    <row r="201" spans="1:14" s="5" customFormat="1" ht="13.2" x14ac:dyDescent="0.3">
      <c r="A201" s="6"/>
      <c r="E201" s="5">
        <v>199</v>
      </c>
      <c r="F201" s="5">
        <f t="shared" si="29"/>
        <v>199</v>
      </c>
      <c r="G201" s="8">
        <f t="shared" si="32"/>
        <v>0</v>
      </c>
      <c r="H201" s="8">
        <f t="shared" si="33"/>
        <v>632.06663762092273</v>
      </c>
      <c r="I201" s="8">
        <f t="shared" si="27"/>
        <v>5.2826655048369098</v>
      </c>
      <c r="J201" s="8">
        <f t="shared" si="34"/>
        <v>1000</v>
      </c>
      <c r="K201" s="8">
        <f t="shared" si="35"/>
        <v>1.5821116643080007</v>
      </c>
      <c r="L201" s="8">
        <f t="shared" si="30"/>
        <v>50</v>
      </c>
      <c r="M201" s="8">
        <f t="shared" si="31"/>
        <v>79.105583215400031</v>
      </c>
      <c r="N201" s="8">
        <f t="shared" si="28"/>
        <v>0.79105583215400033</v>
      </c>
    </row>
    <row r="202" spans="1:14" s="5" customFormat="1" ht="13.2" x14ac:dyDescent="0.3">
      <c r="A202" s="6"/>
      <c r="E202" s="5">
        <v>200</v>
      </c>
      <c r="F202" s="5">
        <f t="shared" si="29"/>
        <v>200</v>
      </c>
      <c r="G202" s="8">
        <f t="shared" si="32"/>
        <v>0</v>
      </c>
      <c r="H202" s="8">
        <f t="shared" si="33"/>
        <v>626.78397211608581</v>
      </c>
      <c r="I202" s="8">
        <f t="shared" ref="I202" si="36">H202*$B$5*$B$2*MAX(0,1-N202)</f>
        <v>5.0713588846434359</v>
      </c>
      <c r="J202" s="8">
        <f t="shared" si="34"/>
        <v>1000</v>
      </c>
      <c r="K202" s="8">
        <f t="shared" si="35"/>
        <v>1.5954460300315263</v>
      </c>
      <c r="L202" s="8">
        <f t="shared" si="30"/>
        <v>50</v>
      </c>
      <c r="M202" s="8">
        <f t="shared" si="31"/>
        <v>79.772301501576308</v>
      </c>
      <c r="N202" s="8">
        <f t="shared" si="28"/>
        <v>0.79772301501576304</v>
      </c>
    </row>
  </sheetData>
  <sheetProtection password="CC01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2"/>
  <sheetViews>
    <sheetView zoomScale="80" zoomScaleNormal="80" workbookViewId="0"/>
  </sheetViews>
  <sheetFormatPr defaultRowHeight="14.4" x14ac:dyDescent="0.3"/>
  <cols>
    <col min="1" max="1" width="21.77734375" style="11" customWidth="1"/>
    <col min="2" max="2" width="4.33203125" style="11" customWidth="1"/>
    <col min="3" max="3" width="10.44140625" style="11" customWidth="1"/>
    <col min="4" max="4" width="3.33203125" style="11" customWidth="1"/>
    <col min="5" max="6" width="4" style="11" customWidth="1"/>
    <col min="7" max="7" width="8.88671875" style="11"/>
    <col min="8" max="8" width="9.88671875" style="11" customWidth="1"/>
    <col min="9" max="9" width="8.88671875" style="11"/>
    <col min="10" max="10" width="10.33203125" style="11" customWidth="1"/>
    <col min="11" max="12" width="8.88671875" style="11"/>
    <col min="13" max="13" width="11.88671875" style="11" customWidth="1"/>
    <col min="14" max="14" width="7.6640625" style="11" customWidth="1"/>
    <col min="15" max="16384" width="8.88671875" style="11"/>
  </cols>
  <sheetData>
    <row r="1" spans="1:19" s="5" customFormat="1" ht="55.8" customHeight="1" x14ac:dyDescent="0.3">
      <c r="A1" s="12" t="s">
        <v>38</v>
      </c>
      <c r="G1" s="5" t="s">
        <v>17</v>
      </c>
      <c r="H1" s="5" t="s">
        <v>28</v>
      </c>
      <c r="I1" s="5" t="s">
        <v>19</v>
      </c>
      <c r="J1" s="5" t="s">
        <v>29</v>
      </c>
      <c r="K1" s="5" t="s">
        <v>22</v>
      </c>
      <c r="L1" s="5" t="s">
        <v>23</v>
      </c>
      <c r="M1" s="5" t="s">
        <v>34</v>
      </c>
      <c r="N1" s="5" t="s">
        <v>24</v>
      </c>
    </row>
    <row r="2" spans="1:19" s="5" customFormat="1" ht="15" customHeight="1" x14ac:dyDescent="0.3">
      <c r="A2" s="6" t="s">
        <v>0</v>
      </c>
      <c r="B2" s="7">
        <f>Model_1!B2</f>
        <v>1</v>
      </c>
      <c r="C2" s="5" t="s">
        <v>2</v>
      </c>
      <c r="E2" s="5">
        <v>0</v>
      </c>
      <c r="F2" s="5">
        <f>E2*$B$2</f>
        <v>0</v>
      </c>
      <c r="G2" s="10">
        <v>0</v>
      </c>
      <c r="H2" s="8">
        <f>B3</f>
        <v>300</v>
      </c>
      <c r="I2" s="8">
        <v>0</v>
      </c>
      <c r="J2" s="8">
        <f>B6</f>
        <v>1000</v>
      </c>
      <c r="K2" s="8">
        <v>0</v>
      </c>
      <c r="L2" s="8">
        <v>0</v>
      </c>
      <c r="M2" s="8">
        <f>K2*L2</f>
        <v>0</v>
      </c>
      <c r="N2" s="8">
        <f t="shared" ref="N2:N65" si="0">M2/$B$10</f>
        <v>0</v>
      </c>
      <c r="O2" s="8"/>
      <c r="P2" s="8"/>
      <c r="Q2" s="8"/>
      <c r="R2" s="8"/>
      <c r="S2" s="8"/>
    </row>
    <row r="3" spans="1:19" s="5" customFormat="1" ht="15" customHeight="1" x14ac:dyDescent="0.3">
      <c r="A3" s="6" t="s">
        <v>7</v>
      </c>
      <c r="B3" s="7">
        <f>Model_1!B3</f>
        <v>300</v>
      </c>
      <c r="C3" s="5" t="s">
        <v>3</v>
      </c>
      <c r="E3" s="5">
        <v>1</v>
      </c>
      <c r="F3" s="5">
        <f t="shared" ref="F3:F66" si="1">E3*$B$2</f>
        <v>1</v>
      </c>
      <c r="G3" s="10">
        <v>0</v>
      </c>
      <c r="H3" s="8">
        <f t="shared" ref="H3:H34" si="2">H2+(G2-I2)</f>
        <v>300</v>
      </c>
      <c r="I3" s="8">
        <f t="shared" ref="I3:I66" si="3">H3*$B$5*$B$2*MAX(0,1-N3)</f>
        <v>0</v>
      </c>
      <c r="J3" s="8">
        <f t="shared" ref="J3:J34" si="4">IF(MOD(F3,3)=0,$B$6+$B$6*$B$12,IF(MOD(F3,7)=0,$B$6-$B$6*$B$12,$B$6))</f>
        <v>1000</v>
      </c>
      <c r="K3" s="8">
        <f>MIN($B$11,J3/H3)</f>
        <v>3</v>
      </c>
      <c r="L3" s="8">
        <f>$B$8*(J3/(H3*K3))</f>
        <v>55.555555555555557</v>
      </c>
      <c r="M3" s="8">
        <f>K3*L3</f>
        <v>166.66666666666669</v>
      </c>
      <c r="N3" s="8">
        <f t="shared" si="0"/>
        <v>1.666666666666667</v>
      </c>
      <c r="O3" s="8"/>
      <c r="P3" s="8"/>
      <c r="Q3" s="8"/>
      <c r="R3" s="8"/>
      <c r="S3" s="8"/>
    </row>
    <row r="4" spans="1:19" s="5" customFormat="1" ht="15" customHeight="1" x14ac:dyDescent="0.3">
      <c r="A4" s="6" t="s">
        <v>8</v>
      </c>
      <c r="B4" s="7">
        <f>Model_1!B4</f>
        <v>0.03</v>
      </c>
      <c r="C4" s="5" t="s">
        <v>4</v>
      </c>
      <c r="E4" s="5">
        <v>2</v>
      </c>
      <c r="F4" s="5">
        <f t="shared" si="1"/>
        <v>2</v>
      </c>
      <c r="G4" s="10">
        <v>0</v>
      </c>
      <c r="H4" s="8">
        <f t="shared" si="2"/>
        <v>300</v>
      </c>
      <c r="I4" s="8">
        <f t="shared" si="3"/>
        <v>0</v>
      </c>
      <c r="J4" s="8">
        <f t="shared" si="4"/>
        <v>1000</v>
      </c>
      <c r="K4" s="8">
        <f t="shared" ref="K4:K67" si="5">MIN($B$11,J4/H4)</f>
        <v>3</v>
      </c>
      <c r="L4" s="8">
        <f t="shared" ref="L4:L67" si="6">$B$8*(J4/(H4*K4))</f>
        <v>55.555555555555557</v>
      </c>
      <c r="M4" s="8">
        <f t="shared" ref="M4:M67" si="7">K4*L4</f>
        <v>166.66666666666669</v>
      </c>
      <c r="N4" s="8">
        <f t="shared" si="0"/>
        <v>1.666666666666667</v>
      </c>
      <c r="O4" s="8"/>
      <c r="P4" s="8"/>
      <c r="Q4" s="8"/>
      <c r="R4" s="8"/>
      <c r="S4" s="8"/>
    </row>
    <row r="5" spans="1:19" s="5" customFormat="1" ht="15" customHeight="1" x14ac:dyDescent="0.3">
      <c r="A5" s="6" t="s">
        <v>9</v>
      </c>
      <c r="B5" s="7">
        <f>Model_1!B5</f>
        <v>0.04</v>
      </c>
      <c r="C5" s="5" t="s">
        <v>4</v>
      </c>
      <c r="E5" s="5">
        <v>3</v>
      </c>
      <c r="F5" s="5">
        <f t="shared" si="1"/>
        <v>3</v>
      </c>
      <c r="G5" s="10">
        <v>0</v>
      </c>
      <c r="H5" s="8">
        <f t="shared" si="2"/>
        <v>300</v>
      </c>
      <c r="I5" s="8">
        <f t="shared" si="3"/>
        <v>0</v>
      </c>
      <c r="J5" s="8">
        <f t="shared" si="4"/>
        <v>1600</v>
      </c>
      <c r="K5" s="8">
        <f t="shared" si="5"/>
        <v>3</v>
      </c>
      <c r="L5" s="8">
        <f t="shared" si="6"/>
        <v>88.888888888888886</v>
      </c>
      <c r="M5" s="8">
        <f t="shared" si="7"/>
        <v>266.66666666666663</v>
      </c>
      <c r="N5" s="8">
        <f t="shared" si="0"/>
        <v>2.6666666666666661</v>
      </c>
      <c r="O5" s="8"/>
      <c r="P5" s="8"/>
      <c r="Q5" s="8"/>
      <c r="R5" s="8"/>
      <c r="S5" s="8"/>
    </row>
    <row r="6" spans="1:19" s="5" customFormat="1" ht="15" customHeight="1" x14ac:dyDescent="0.3">
      <c r="A6" s="6" t="s">
        <v>10</v>
      </c>
      <c r="B6" s="7">
        <f>Model_1!B6</f>
        <v>1000</v>
      </c>
      <c r="C6" s="5" t="s">
        <v>21</v>
      </c>
      <c r="E6" s="5">
        <v>4</v>
      </c>
      <c r="F6" s="5">
        <f t="shared" si="1"/>
        <v>4</v>
      </c>
      <c r="G6" s="10">
        <v>0</v>
      </c>
      <c r="H6" s="8">
        <f t="shared" si="2"/>
        <v>300</v>
      </c>
      <c r="I6" s="8">
        <f t="shared" si="3"/>
        <v>0</v>
      </c>
      <c r="J6" s="8">
        <f t="shared" si="4"/>
        <v>1000</v>
      </c>
      <c r="K6" s="8">
        <f t="shared" si="5"/>
        <v>3</v>
      </c>
      <c r="L6" s="8">
        <f t="shared" si="6"/>
        <v>55.555555555555557</v>
      </c>
      <c r="M6" s="8">
        <f t="shared" si="7"/>
        <v>166.66666666666669</v>
      </c>
      <c r="N6" s="8">
        <f t="shared" si="0"/>
        <v>1.666666666666667</v>
      </c>
      <c r="O6" s="8"/>
      <c r="P6" s="8"/>
      <c r="Q6" s="8"/>
      <c r="R6" s="8"/>
      <c r="S6" s="8"/>
    </row>
    <row r="7" spans="1:19" s="5" customFormat="1" ht="15" customHeight="1" x14ac:dyDescent="0.3">
      <c r="A7" s="6" t="s">
        <v>36</v>
      </c>
      <c r="B7" s="7">
        <f>Model_1!B7</f>
        <v>0.33333333333333331</v>
      </c>
      <c r="C7" s="5" t="s">
        <v>2</v>
      </c>
      <c r="E7" s="5">
        <v>5</v>
      </c>
      <c r="F7" s="5">
        <f t="shared" si="1"/>
        <v>5</v>
      </c>
      <c r="G7" s="10">
        <f ca="1">MAX(0,IF(OFFSET(N7,-$B$13,0)&gt;=1,J7*$B$4*$B$2*(OFFSET(N7,-$B$13,0)-1),0))</f>
        <v>0</v>
      </c>
      <c r="H7" s="8">
        <f t="shared" si="2"/>
        <v>300</v>
      </c>
      <c r="I7" s="8">
        <f t="shared" si="3"/>
        <v>0</v>
      </c>
      <c r="J7" s="8">
        <f t="shared" si="4"/>
        <v>1000</v>
      </c>
      <c r="K7" s="8">
        <f t="shared" si="5"/>
        <v>3</v>
      </c>
      <c r="L7" s="8">
        <f t="shared" si="6"/>
        <v>55.555555555555557</v>
      </c>
      <c r="M7" s="8">
        <f t="shared" si="7"/>
        <v>166.66666666666669</v>
      </c>
      <c r="N7" s="8">
        <f t="shared" si="0"/>
        <v>1.666666666666667</v>
      </c>
      <c r="O7" s="8"/>
      <c r="P7" s="8"/>
      <c r="Q7" s="8"/>
      <c r="R7" s="8"/>
      <c r="S7" s="8"/>
    </row>
    <row r="8" spans="1:19" s="5" customFormat="1" ht="15" customHeight="1" x14ac:dyDescent="0.3">
      <c r="A8" s="6" t="s">
        <v>11</v>
      </c>
      <c r="B8" s="7">
        <f>Model_1!B8</f>
        <v>50</v>
      </c>
      <c r="C8" s="5" t="s">
        <v>1</v>
      </c>
      <c r="E8" s="5">
        <v>6</v>
      </c>
      <c r="F8" s="5">
        <f t="shared" si="1"/>
        <v>6</v>
      </c>
      <c r="G8" s="10">
        <f t="shared" ref="G8:G71" ca="1" si="8">MAX(0,IF(OFFSET(N8,-$B$13,0)&gt;=1,J8*$B$4*$B$2*(OFFSET(N8,-$B$13,0)-1),0))</f>
        <v>32.000000000000014</v>
      </c>
      <c r="H8" s="8">
        <f t="shared" ca="1" si="2"/>
        <v>300</v>
      </c>
      <c r="I8" s="8">
        <f t="shared" ca="1" si="3"/>
        <v>0</v>
      </c>
      <c r="J8" s="8">
        <f t="shared" si="4"/>
        <v>1600</v>
      </c>
      <c r="K8" s="8">
        <f t="shared" ca="1" si="5"/>
        <v>3</v>
      </c>
      <c r="L8" s="8">
        <f t="shared" ca="1" si="6"/>
        <v>88.888888888888886</v>
      </c>
      <c r="M8" s="8">
        <f t="shared" ca="1" si="7"/>
        <v>266.66666666666663</v>
      </c>
      <c r="N8" s="8">
        <f t="shared" ca="1" si="0"/>
        <v>2.6666666666666661</v>
      </c>
      <c r="O8" s="8"/>
      <c r="P8" s="8"/>
      <c r="Q8" s="8"/>
      <c r="R8" s="8"/>
      <c r="S8" s="8"/>
    </row>
    <row r="9" spans="1:19" s="5" customFormat="1" ht="15" customHeight="1" x14ac:dyDescent="0.3">
      <c r="A9" s="6" t="s">
        <v>12</v>
      </c>
      <c r="B9" s="7">
        <f>Model_1!B9</f>
        <v>8.3333333333333329E-2</v>
      </c>
      <c r="C9" s="5" t="s">
        <v>2</v>
      </c>
      <c r="E9" s="5">
        <v>7</v>
      </c>
      <c r="F9" s="5">
        <f t="shared" si="1"/>
        <v>7</v>
      </c>
      <c r="G9" s="10">
        <f t="shared" ca="1" si="8"/>
        <v>8.0000000000000036</v>
      </c>
      <c r="H9" s="8">
        <f t="shared" ca="1" si="2"/>
        <v>332</v>
      </c>
      <c r="I9" s="8">
        <f t="shared" ca="1" si="3"/>
        <v>5.2800000000000011</v>
      </c>
      <c r="J9" s="8">
        <f t="shared" si="4"/>
        <v>400</v>
      </c>
      <c r="K9" s="8">
        <f t="shared" ca="1" si="5"/>
        <v>1.2048192771084338</v>
      </c>
      <c r="L9" s="8">
        <f t="shared" ca="1" si="6"/>
        <v>49.999999999999993</v>
      </c>
      <c r="M9" s="8">
        <f t="shared" ca="1" si="7"/>
        <v>60.240963855421683</v>
      </c>
      <c r="N9" s="8">
        <f t="shared" ca="1" si="0"/>
        <v>0.60240963855421681</v>
      </c>
      <c r="O9" s="8"/>
      <c r="P9" s="8"/>
      <c r="Q9" s="8"/>
      <c r="R9" s="8"/>
      <c r="S9" s="8"/>
    </row>
    <row r="10" spans="1:19" s="5" customFormat="1" ht="27.6" customHeight="1" x14ac:dyDescent="0.3">
      <c r="A10" s="6" t="s">
        <v>13</v>
      </c>
      <c r="B10" s="7">
        <f>Model_1!B10</f>
        <v>100</v>
      </c>
      <c r="C10" s="5" t="s">
        <v>5</v>
      </c>
      <c r="E10" s="5">
        <v>8</v>
      </c>
      <c r="F10" s="5">
        <f t="shared" si="1"/>
        <v>8</v>
      </c>
      <c r="G10" s="10">
        <f t="shared" ca="1" si="8"/>
        <v>49.999999999999986</v>
      </c>
      <c r="H10" s="8">
        <f t="shared" ca="1" si="2"/>
        <v>334.72</v>
      </c>
      <c r="I10" s="8">
        <f t="shared" ca="1" si="3"/>
        <v>0</v>
      </c>
      <c r="J10" s="8">
        <f t="shared" si="4"/>
        <v>1000</v>
      </c>
      <c r="K10" s="8">
        <f t="shared" ca="1" si="5"/>
        <v>2.987571701720841</v>
      </c>
      <c r="L10" s="8">
        <f t="shared" ca="1" si="6"/>
        <v>50</v>
      </c>
      <c r="M10" s="8">
        <f t="shared" ca="1" si="7"/>
        <v>149.37858508604205</v>
      </c>
      <c r="N10" s="8">
        <f t="shared" ca="1" si="0"/>
        <v>1.4937858508604205</v>
      </c>
      <c r="O10" s="8"/>
      <c r="P10" s="8"/>
      <c r="Q10" s="8"/>
      <c r="R10" s="8"/>
      <c r="S10" s="8"/>
    </row>
    <row r="11" spans="1:19" s="5" customFormat="1" ht="16.8" customHeight="1" x14ac:dyDescent="0.3">
      <c r="A11" s="6" t="s">
        <v>14</v>
      </c>
      <c r="B11" s="7">
        <f>Model_1!B11</f>
        <v>3</v>
      </c>
      <c r="C11" s="5" t="s">
        <v>15</v>
      </c>
      <c r="E11" s="5">
        <v>9</v>
      </c>
      <c r="F11" s="5">
        <f t="shared" si="1"/>
        <v>9</v>
      </c>
      <c r="G11" s="10">
        <f t="shared" ca="1" si="8"/>
        <v>32.000000000000014</v>
      </c>
      <c r="H11" s="8">
        <f t="shared" ca="1" si="2"/>
        <v>384.72</v>
      </c>
      <c r="I11" s="8">
        <f t="shared" ca="1" si="3"/>
        <v>0</v>
      </c>
      <c r="J11" s="8">
        <f t="shared" si="4"/>
        <v>1600</v>
      </c>
      <c r="K11" s="8">
        <f t="shared" ca="1" si="5"/>
        <v>3</v>
      </c>
      <c r="L11" s="8">
        <f t="shared" ca="1" si="6"/>
        <v>69.314479794829126</v>
      </c>
      <c r="M11" s="8">
        <f t="shared" ca="1" si="7"/>
        <v>207.94343938448736</v>
      </c>
      <c r="N11" s="8">
        <f t="shared" ca="1" si="0"/>
        <v>2.0794343938448736</v>
      </c>
      <c r="O11" s="8"/>
      <c r="P11" s="8"/>
      <c r="Q11" s="8"/>
      <c r="R11" s="8"/>
      <c r="S11" s="8"/>
    </row>
    <row r="12" spans="1:19" s="5" customFormat="1" ht="13.2" customHeight="1" x14ac:dyDescent="0.3">
      <c r="A12" s="6" t="s">
        <v>16</v>
      </c>
      <c r="B12" s="7">
        <f>Model_2!$B$12</f>
        <v>0.6</v>
      </c>
      <c r="E12" s="5">
        <v>10</v>
      </c>
      <c r="F12" s="5">
        <f t="shared" si="1"/>
        <v>10</v>
      </c>
      <c r="G12" s="10">
        <f t="shared" ca="1" si="8"/>
        <v>20.000000000000007</v>
      </c>
      <c r="H12" s="8">
        <f t="shared" ca="1" si="2"/>
        <v>416.72</v>
      </c>
      <c r="I12" s="8">
        <f t="shared" ca="1" si="3"/>
        <v>0</v>
      </c>
      <c r="J12" s="8">
        <f t="shared" si="4"/>
        <v>1000</v>
      </c>
      <c r="K12" s="8">
        <f t="shared" ca="1" si="5"/>
        <v>2.3996928393165673</v>
      </c>
      <c r="L12" s="8">
        <f t="shared" ca="1" si="6"/>
        <v>50</v>
      </c>
      <c r="M12" s="8">
        <f t="shared" ca="1" si="7"/>
        <v>119.98464196582836</v>
      </c>
      <c r="N12" s="8">
        <f t="shared" ca="1" si="0"/>
        <v>1.1998464196582836</v>
      </c>
      <c r="O12" s="8"/>
      <c r="P12" s="8"/>
      <c r="Q12" s="8"/>
      <c r="R12" s="8"/>
      <c r="S12" s="8"/>
    </row>
    <row r="13" spans="1:19" s="5" customFormat="1" ht="15" customHeight="1" x14ac:dyDescent="0.3">
      <c r="A13" s="6" t="s">
        <v>25</v>
      </c>
      <c r="B13" s="7">
        <v>5</v>
      </c>
      <c r="C13" s="5" t="s">
        <v>2</v>
      </c>
      <c r="E13" s="5">
        <v>11</v>
      </c>
      <c r="F13" s="5">
        <f t="shared" si="1"/>
        <v>11</v>
      </c>
      <c r="G13" s="10">
        <f t="shared" ca="1" si="8"/>
        <v>49.999999999999986</v>
      </c>
      <c r="H13" s="8">
        <f t="shared" ca="1" si="2"/>
        <v>436.72</v>
      </c>
      <c r="I13" s="8">
        <f t="shared" ca="1" si="3"/>
        <v>0</v>
      </c>
      <c r="J13" s="8">
        <f t="shared" si="4"/>
        <v>1000</v>
      </c>
      <c r="K13" s="8">
        <f t="shared" ca="1" si="5"/>
        <v>2.2897966660560543</v>
      </c>
      <c r="L13" s="8">
        <f t="shared" ca="1" si="6"/>
        <v>49.999999999999993</v>
      </c>
      <c r="M13" s="8">
        <f t="shared" ca="1" si="7"/>
        <v>114.48983330280269</v>
      </c>
      <c r="N13" s="8">
        <f t="shared" ca="1" si="0"/>
        <v>1.1448983330280269</v>
      </c>
      <c r="O13" s="8"/>
      <c r="P13" s="8"/>
      <c r="Q13" s="8"/>
      <c r="R13" s="8"/>
      <c r="S13" s="8"/>
    </row>
    <row r="14" spans="1:19" s="5" customFormat="1" ht="13.2" x14ac:dyDescent="0.3">
      <c r="E14" s="5">
        <v>12</v>
      </c>
      <c r="F14" s="5">
        <f t="shared" si="1"/>
        <v>12</v>
      </c>
      <c r="G14" s="10">
        <f t="shared" ca="1" si="8"/>
        <v>0</v>
      </c>
      <c r="H14" s="8">
        <f t="shared" ca="1" si="2"/>
        <v>486.72</v>
      </c>
      <c r="I14" s="8">
        <f t="shared" ca="1" si="3"/>
        <v>0</v>
      </c>
      <c r="J14" s="8">
        <f t="shared" si="4"/>
        <v>1600</v>
      </c>
      <c r="K14" s="8">
        <f t="shared" ca="1" si="5"/>
        <v>3</v>
      </c>
      <c r="L14" s="8">
        <f t="shared" ca="1" si="6"/>
        <v>54.788516326977863</v>
      </c>
      <c r="M14" s="8">
        <f t="shared" ca="1" si="7"/>
        <v>164.3655489809336</v>
      </c>
      <c r="N14" s="8">
        <f t="shared" ca="1" si="0"/>
        <v>1.6436554898093361</v>
      </c>
      <c r="O14" s="8"/>
      <c r="P14" s="8"/>
      <c r="Q14" s="8"/>
      <c r="R14" s="8"/>
      <c r="S14" s="8"/>
    </row>
    <row r="15" spans="1:19" s="5" customFormat="1" ht="13.2" x14ac:dyDescent="0.3">
      <c r="E15" s="5">
        <v>13</v>
      </c>
      <c r="F15" s="5">
        <f t="shared" si="1"/>
        <v>13</v>
      </c>
      <c r="G15" s="10">
        <f t="shared" ca="1" si="8"/>
        <v>14.813575525812615</v>
      </c>
      <c r="H15" s="8">
        <f t="shared" ca="1" si="2"/>
        <v>486.72</v>
      </c>
      <c r="I15" s="8">
        <f t="shared" ca="1" si="3"/>
        <v>0</v>
      </c>
      <c r="J15" s="8">
        <f t="shared" si="4"/>
        <v>1000</v>
      </c>
      <c r="K15" s="8">
        <f t="shared" ca="1" si="5"/>
        <v>2.0545693622616699</v>
      </c>
      <c r="L15" s="8">
        <f t="shared" ca="1" si="6"/>
        <v>50</v>
      </c>
      <c r="M15" s="8">
        <f t="shared" ca="1" si="7"/>
        <v>102.72846811308349</v>
      </c>
      <c r="N15" s="8">
        <f t="shared" ca="1" si="0"/>
        <v>1.0272846811308349</v>
      </c>
      <c r="O15" s="8"/>
      <c r="P15" s="8"/>
      <c r="Q15" s="8"/>
      <c r="R15" s="8"/>
      <c r="S15" s="8"/>
    </row>
    <row r="16" spans="1:19" s="5" customFormat="1" ht="13.2" x14ac:dyDescent="0.3">
      <c r="E16" s="5">
        <v>14</v>
      </c>
      <c r="F16" s="5">
        <f t="shared" si="1"/>
        <v>14</v>
      </c>
      <c r="G16" s="10">
        <f t="shared" ca="1" si="8"/>
        <v>12.953212726138483</v>
      </c>
      <c r="H16" s="8">
        <f t="shared" ca="1" si="2"/>
        <v>501.53357552581264</v>
      </c>
      <c r="I16" s="8">
        <f t="shared" ca="1" si="3"/>
        <v>12.061343021032505</v>
      </c>
      <c r="J16" s="8">
        <f t="shared" si="4"/>
        <v>400</v>
      </c>
      <c r="K16" s="8">
        <f t="shared" ca="1" si="5"/>
        <v>0.79755378207856997</v>
      </c>
      <c r="L16" s="8">
        <f t="shared" ca="1" si="6"/>
        <v>50</v>
      </c>
      <c r="M16" s="8">
        <f t="shared" ca="1" si="7"/>
        <v>39.877689103928496</v>
      </c>
      <c r="N16" s="8">
        <f t="shared" ca="1" si="0"/>
        <v>0.39877689103928499</v>
      </c>
      <c r="O16" s="8"/>
      <c r="P16" s="8"/>
      <c r="Q16" s="8"/>
      <c r="R16" s="8"/>
      <c r="S16" s="8"/>
    </row>
    <row r="17" spans="1:19" s="5" customFormat="1" ht="13.2" x14ac:dyDescent="0.3">
      <c r="A17" s="6"/>
      <c r="E17" s="5">
        <v>15</v>
      </c>
      <c r="F17" s="5">
        <f t="shared" si="1"/>
        <v>15</v>
      </c>
      <c r="G17" s="10">
        <f t="shared" ca="1" si="8"/>
        <v>9.5926281435976151</v>
      </c>
      <c r="H17" s="8">
        <f t="shared" ca="1" si="2"/>
        <v>502.42544523091863</v>
      </c>
      <c r="I17" s="8">
        <f t="shared" ca="1" si="3"/>
        <v>0</v>
      </c>
      <c r="J17" s="8">
        <f t="shared" si="4"/>
        <v>1600</v>
      </c>
      <c r="K17" s="8">
        <f t="shared" ca="1" si="5"/>
        <v>3</v>
      </c>
      <c r="L17" s="8">
        <f t="shared" ca="1" si="6"/>
        <v>53.075868110960144</v>
      </c>
      <c r="M17" s="8">
        <f t="shared" ca="1" si="7"/>
        <v>159.22760433288045</v>
      </c>
      <c r="N17" s="8">
        <f t="shared" ca="1" si="0"/>
        <v>1.5922760433288046</v>
      </c>
      <c r="O17" s="8"/>
      <c r="P17" s="8"/>
      <c r="Q17" s="8"/>
      <c r="R17" s="8"/>
      <c r="S17" s="8"/>
    </row>
    <row r="18" spans="1:19" s="5" customFormat="1" ht="13.2" x14ac:dyDescent="0.3">
      <c r="A18" s="6"/>
      <c r="E18" s="5">
        <v>16</v>
      </c>
      <c r="F18" s="5">
        <f t="shared" si="1"/>
        <v>16</v>
      </c>
      <c r="G18" s="8">
        <f t="shared" ca="1" si="8"/>
        <v>4.3469499908408071</v>
      </c>
      <c r="H18" s="8">
        <f t="shared" ca="1" si="2"/>
        <v>512.01807337451623</v>
      </c>
      <c r="I18" s="8">
        <f t="shared" ca="1" si="3"/>
        <v>0.48072293498064905</v>
      </c>
      <c r="J18" s="8">
        <f t="shared" si="4"/>
        <v>1000</v>
      </c>
      <c r="K18" s="8">
        <f t="shared" ca="1" si="5"/>
        <v>1.9530560579812752</v>
      </c>
      <c r="L18" s="8">
        <f t="shared" ca="1" si="6"/>
        <v>50</v>
      </c>
      <c r="M18" s="8">
        <f t="shared" ca="1" si="7"/>
        <v>97.652802899063758</v>
      </c>
      <c r="N18" s="8">
        <f t="shared" ca="1" si="0"/>
        <v>0.97652802899063762</v>
      </c>
      <c r="O18" s="8"/>
      <c r="P18" s="8"/>
      <c r="Q18" s="8"/>
      <c r="R18" s="8"/>
      <c r="S18" s="8"/>
    </row>
    <row r="19" spans="1:19" s="5" customFormat="1" ht="13.2" x14ac:dyDescent="0.3">
      <c r="A19" s="6"/>
      <c r="E19" s="5">
        <v>17</v>
      </c>
      <c r="F19" s="5">
        <f t="shared" si="1"/>
        <v>17</v>
      </c>
      <c r="G19" s="8">
        <f t="shared" ca="1" si="8"/>
        <v>19.30966469428008</v>
      </c>
      <c r="H19" s="8">
        <f t="shared" ca="1" si="2"/>
        <v>515.88430043037636</v>
      </c>
      <c r="I19" s="8">
        <f t="shared" ca="1" si="3"/>
        <v>0.63537201721505476</v>
      </c>
      <c r="J19" s="8">
        <f t="shared" si="4"/>
        <v>1000</v>
      </c>
      <c r="K19" s="8">
        <f t="shared" ca="1" si="5"/>
        <v>1.9384191361624112</v>
      </c>
      <c r="L19" s="8">
        <f t="shared" ca="1" si="6"/>
        <v>50</v>
      </c>
      <c r="M19" s="8">
        <f t="shared" ca="1" si="7"/>
        <v>96.920956808120565</v>
      </c>
      <c r="N19" s="8">
        <f t="shared" ca="1" si="0"/>
        <v>0.96920956808120562</v>
      </c>
      <c r="O19" s="8"/>
      <c r="P19" s="8"/>
      <c r="Q19" s="8"/>
      <c r="R19" s="8"/>
      <c r="S19" s="8"/>
    </row>
    <row r="20" spans="1:19" s="5" customFormat="1" ht="13.2" x14ac:dyDescent="0.3">
      <c r="A20" s="6"/>
      <c r="E20" s="5">
        <v>18</v>
      </c>
      <c r="F20" s="5">
        <f t="shared" si="1"/>
        <v>18</v>
      </c>
      <c r="G20" s="8">
        <f t="shared" ca="1" si="8"/>
        <v>1.3096646942800767</v>
      </c>
      <c r="H20" s="8">
        <f t="shared" ca="1" si="2"/>
        <v>534.55859310744142</v>
      </c>
      <c r="I20" s="8">
        <f t="shared" ca="1" si="3"/>
        <v>0</v>
      </c>
      <c r="J20" s="8">
        <f t="shared" si="4"/>
        <v>1600</v>
      </c>
      <c r="K20" s="8">
        <f t="shared" ca="1" si="5"/>
        <v>2.993123711095997</v>
      </c>
      <c r="L20" s="8">
        <f t="shared" ca="1" si="6"/>
        <v>50</v>
      </c>
      <c r="M20" s="8">
        <f t="shared" ca="1" si="7"/>
        <v>149.65618555479983</v>
      </c>
      <c r="N20" s="8">
        <f t="shared" ca="1" si="0"/>
        <v>1.4965618555479983</v>
      </c>
      <c r="O20" s="8"/>
      <c r="P20" s="8"/>
      <c r="Q20" s="8"/>
      <c r="R20" s="8"/>
      <c r="S20" s="8"/>
    </row>
    <row r="21" spans="1:19" s="5" customFormat="1" ht="13.2" x14ac:dyDescent="0.3">
      <c r="A21" s="6"/>
      <c r="E21" s="5">
        <v>19</v>
      </c>
      <c r="F21" s="5">
        <f t="shared" si="1"/>
        <v>19</v>
      </c>
      <c r="G21" s="8">
        <f t="shared" ca="1" si="8"/>
        <v>0</v>
      </c>
      <c r="H21" s="8">
        <f t="shared" ca="1" si="2"/>
        <v>535.86825780172148</v>
      </c>
      <c r="I21" s="8">
        <f t="shared" ca="1" si="3"/>
        <v>1.4347303120688586</v>
      </c>
      <c r="J21" s="8">
        <f t="shared" si="4"/>
        <v>1000</v>
      </c>
      <c r="K21" s="8">
        <f t="shared" ca="1" si="5"/>
        <v>1.8661303136376732</v>
      </c>
      <c r="L21" s="8">
        <f t="shared" ca="1" si="6"/>
        <v>50</v>
      </c>
      <c r="M21" s="8">
        <f t="shared" ca="1" si="7"/>
        <v>93.306515681883667</v>
      </c>
      <c r="N21" s="8">
        <f t="shared" ca="1" si="0"/>
        <v>0.93306515681883662</v>
      </c>
      <c r="O21" s="8"/>
      <c r="P21" s="8"/>
      <c r="Q21" s="8"/>
      <c r="R21" s="8"/>
      <c r="S21" s="8"/>
    </row>
    <row r="22" spans="1:19" s="5" customFormat="1" ht="13.2" x14ac:dyDescent="0.3">
      <c r="A22" s="6"/>
      <c r="E22" s="5">
        <v>20</v>
      </c>
      <c r="F22" s="5">
        <f t="shared" si="1"/>
        <v>20</v>
      </c>
      <c r="G22" s="8">
        <f t="shared" ca="1" si="8"/>
        <v>17.768281299864135</v>
      </c>
      <c r="H22" s="8">
        <f t="shared" ca="1" si="2"/>
        <v>534.43352748965265</v>
      </c>
      <c r="I22" s="8">
        <f t="shared" ca="1" si="3"/>
        <v>1.3773410995861055</v>
      </c>
      <c r="J22" s="8">
        <f t="shared" si="4"/>
        <v>1000</v>
      </c>
      <c r="K22" s="8">
        <f t="shared" ca="1" si="5"/>
        <v>1.8711400923838211</v>
      </c>
      <c r="L22" s="8">
        <f t="shared" ca="1" si="6"/>
        <v>50</v>
      </c>
      <c r="M22" s="8">
        <f t="shared" ca="1" si="7"/>
        <v>93.557004619191048</v>
      </c>
      <c r="N22" s="8">
        <f t="shared" ca="1" si="0"/>
        <v>0.93557004619191053</v>
      </c>
      <c r="O22" s="8"/>
      <c r="P22" s="8"/>
      <c r="Q22" s="8"/>
      <c r="R22" s="8"/>
      <c r="S22" s="8"/>
    </row>
    <row r="23" spans="1:19" s="5" customFormat="1" ht="13.2" x14ac:dyDescent="0.3">
      <c r="A23" s="6"/>
      <c r="E23" s="5">
        <v>21</v>
      </c>
      <c r="F23" s="5">
        <f t="shared" si="1"/>
        <v>21</v>
      </c>
      <c r="G23" s="8">
        <f t="shared" ca="1" si="8"/>
        <v>0</v>
      </c>
      <c r="H23" s="8">
        <f t="shared" ca="1" si="2"/>
        <v>550.82446768993066</v>
      </c>
      <c r="I23" s="8">
        <f t="shared" ca="1" si="3"/>
        <v>0</v>
      </c>
      <c r="J23" s="8">
        <f t="shared" si="4"/>
        <v>1600</v>
      </c>
      <c r="K23" s="8">
        <f t="shared" ca="1" si="5"/>
        <v>2.9047366154777818</v>
      </c>
      <c r="L23" s="8">
        <f t="shared" ca="1" si="6"/>
        <v>50</v>
      </c>
      <c r="M23" s="8">
        <f t="shared" ca="1" si="7"/>
        <v>145.2368307738891</v>
      </c>
      <c r="N23" s="8">
        <f t="shared" ca="1" si="0"/>
        <v>1.4523683077388909</v>
      </c>
      <c r="O23" s="8"/>
      <c r="P23" s="8"/>
      <c r="Q23" s="8"/>
      <c r="R23" s="8"/>
      <c r="S23" s="8"/>
    </row>
    <row r="24" spans="1:19" s="5" customFormat="1" ht="13.2" x14ac:dyDescent="0.3">
      <c r="A24" s="6"/>
      <c r="E24" s="5">
        <v>22</v>
      </c>
      <c r="F24" s="5">
        <f t="shared" si="1"/>
        <v>22</v>
      </c>
      <c r="G24" s="8">
        <f t="shared" ca="1" si="8"/>
        <v>0</v>
      </c>
      <c r="H24" s="8">
        <f t="shared" ca="1" si="2"/>
        <v>550.82446768993066</v>
      </c>
      <c r="I24" s="8">
        <f t="shared" ca="1" si="3"/>
        <v>2.0329787075972261</v>
      </c>
      <c r="J24" s="8">
        <f t="shared" si="4"/>
        <v>1000</v>
      </c>
      <c r="K24" s="8">
        <f t="shared" ca="1" si="5"/>
        <v>1.8154603846736137</v>
      </c>
      <c r="L24" s="8">
        <f t="shared" ca="1" si="6"/>
        <v>50</v>
      </c>
      <c r="M24" s="8">
        <f t="shared" ca="1" si="7"/>
        <v>90.773019233680685</v>
      </c>
      <c r="N24" s="8">
        <f t="shared" ca="1" si="0"/>
        <v>0.90773019233680685</v>
      </c>
      <c r="O24" s="8"/>
      <c r="P24" s="8"/>
      <c r="Q24" s="8"/>
      <c r="R24" s="8"/>
      <c r="S24" s="8"/>
    </row>
    <row r="25" spans="1:19" s="5" customFormat="1" ht="13.2" x14ac:dyDescent="0.3">
      <c r="A25" s="6"/>
      <c r="E25" s="5">
        <v>23</v>
      </c>
      <c r="F25" s="5">
        <f t="shared" si="1"/>
        <v>23</v>
      </c>
      <c r="G25" s="8">
        <f t="shared" ca="1" si="8"/>
        <v>14.896855666439947</v>
      </c>
      <c r="H25" s="8">
        <f t="shared" ca="1" si="2"/>
        <v>548.79148898233348</v>
      </c>
      <c r="I25" s="8">
        <f t="shared" ca="1" si="3"/>
        <v>1.9516595592933381</v>
      </c>
      <c r="J25" s="8">
        <f t="shared" si="4"/>
        <v>1000</v>
      </c>
      <c r="K25" s="8">
        <f t="shared" ca="1" si="5"/>
        <v>1.8221856936126641</v>
      </c>
      <c r="L25" s="8">
        <f t="shared" ca="1" si="6"/>
        <v>50</v>
      </c>
      <c r="M25" s="8">
        <f t="shared" ca="1" si="7"/>
        <v>91.109284680633209</v>
      </c>
      <c r="N25" s="8">
        <f t="shared" ca="1" si="0"/>
        <v>0.91109284680633207</v>
      </c>
      <c r="O25" s="8"/>
      <c r="P25" s="8"/>
      <c r="Q25" s="8"/>
      <c r="R25" s="8"/>
      <c r="S25" s="8"/>
    </row>
    <row r="26" spans="1:19" s="5" customFormat="1" ht="13.2" x14ac:dyDescent="0.3">
      <c r="A26" s="6"/>
      <c r="E26" s="5">
        <v>24</v>
      </c>
      <c r="F26" s="5">
        <f t="shared" si="1"/>
        <v>24</v>
      </c>
      <c r="G26" s="8">
        <f t="shared" ca="1" si="8"/>
        <v>0</v>
      </c>
      <c r="H26" s="8">
        <f t="shared" ca="1" si="2"/>
        <v>561.73668508948003</v>
      </c>
      <c r="I26" s="8">
        <f t="shared" ca="1" si="3"/>
        <v>0</v>
      </c>
      <c r="J26" s="8">
        <f t="shared" si="4"/>
        <v>1600</v>
      </c>
      <c r="K26" s="8">
        <f t="shared" ca="1" si="5"/>
        <v>2.8483096127950644</v>
      </c>
      <c r="L26" s="8">
        <f t="shared" ca="1" si="6"/>
        <v>50</v>
      </c>
      <c r="M26" s="8">
        <f t="shared" ca="1" si="7"/>
        <v>142.41548063975321</v>
      </c>
      <c r="N26" s="8">
        <f t="shared" ca="1" si="0"/>
        <v>1.4241548063975322</v>
      </c>
      <c r="O26" s="8"/>
      <c r="P26" s="8"/>
      <c r="Q26" s="8"/>
      <c r="R26" s="8"/>
      <c r="S26" s="8"/>
    </row>
    <row r="27" spans="1:19" s="5" customFormat="1" ht="13.2" x14ac:dyDescent="0.3">
      <c r="A27" s="6"/>
      <c r="E27" s="5">
        <v>25</v>
      </c>
      <c r="F27" s="5">
        <f t="shared" si="1"/>
        <v>25</v>
      </c>
      <c r="G27" s="8">
        <f t="shared" ca="1" si="8"/>
        <v>0</v>
      </c>
      <c r="H27" s="8">
        <f t="shared" ca="1" si="2"/>
        <v>561.73668508948003</v>
      </c>
      <c r="I27" s="8">
        <f t="shared" ca="1" si="3"/>
        <v>2.4694674035792015</v>
      </c>
      <c r="J27" s="8">
        <f t="shared" si="4"/>
        <v>1000</v>
      </c>
      <c r="K27" s="8">
        <f t="shared" ca="1" si="5"/>
        <v>1.7801935079969153</v>
      </c>
      <c r="L27" s="8">
        <f t="shared" ca="1" si="6"/>
        <v>50</v>
      </c>
      <c r="M27" s="8">
        <f t="shared" ca="1" si="7"/>
        <v>89.009675399845761</v>
      </c>
      <c r="N27" s="8">
        <f t="shared" ca="1" si="0"/>
        <v>0.89009675399845767</v>
      </c>
      <c r="O27" s="8"/>
      <c r="P27" s="8"/>
      <c r="Q27" s="8"/>
      <c r="R27" s="8"/>
      <c r="S27" s="8"/>
    </row>
    <row r="28" spans="1:19" s="5" customFormat="1" ht="13.2" x14ac:dyDescent="0.3">
      <c r="A28" s="6"/>
      <c r="E28" s="5">
        <v>26</v>
      </c>
      <c r="F28" s="5">
        <f t="shared" si="1"/>
        <v>26</v>
      </c>
      <c r="G28" s="8">
        <f t="shared" ca="1" si="8"/>
        <v>13.571049232166727</v>
      </c>
      <c r="H28" s="8">
        <f t="shared" ca="1" si="2"/>
        <v>559.26721768590085</v>
      </c>
      <c r="I28" s="8">
        <f t="shared" ca="1" si="3"/>
        <v>2.3706887074360337</v>
      </c>
      <c r="J28" s="8">
        <f t="shared" si="4"/>
        <v>1000</v>
      </c>
      <c r="K28" s="8">
        <f t="shared" ca="1" si="5"/>
        <v>1.7880540256547386</v>
      </c>
      <c r="L28" s="8">
        <f t="shared" ca="1" si="6"/>
        <v>50</v>
      </c>
      <c r="M28" s="8">
        <f t="shared" ca="1" si="7"/>
        <v>89.402701282736928</v>
      </c>
      <c r="N28" s="8">
        <f t="shared" ca="1" si="0"/>
        <v>0.89402701282736929</v>
      </c>
      <c r="O28" s="8"/>
      <c r="P28" s="8"/>
      <c r="Q28" s="8"/>
      <c r="R28" s="8"/>
      <c r="S28" s="8"/>
    </row>
    <row r="29" spans="1:19" s="5" customFormat="1" ht="13.2" x14ac:dyDescent="0.3">
      <c r="A29" s="6"/>
      <c r="E29" s="5">
        <v>27</v>
      </c>
      <c r="F29" s="5">
        <f t="shared" si="1"/>
        <v>27</v>
      </c>
      <c r="G29" s="8">
        <f t="shared" ca="1" si="8"/>
        <v>0</v>
      </c>
      <c r="H29" s="8">
        <f t="shared" ca="1" si="2"/>
        <v>570.46757821063159</v>
      </c>
      <c r="I29" s="8">
        <f t="shared" ca="1" si="3"/>
        <v>0</v>
      </c>
      <c r="J29" s="8">
        <f t="shared" si="4"/>
        <v>1600</v>
      </c>
      <c r="K29" s="8">
        <f t="shared" ca="1" si="5"/>
        <v>2.8047167991889594</v>
      </c>
      <c r="L29" s="8">
        <f t="shared" ca="1" si="6"/>
        <v>50</v>
      </c>
      <c r="M29" s="8">
        <f t="shared" ca="1" si="7"/>
        <v>140.23583995944796</v>
      </c>
      <c r="N29" s="8">
        <f t="shared" ca="1" si="0"/>
        <v>1.4023583995944795</v>
      </c>
      <c r="O29" s="8"/>
      <c r="P29" s="8"/>
      <c r="Q29" s="8"/>
      <c r="R29" s="8"/>
      <c r="S29" s="8"/>
    </row>
    <row r="30" spans="1:19" s="5" customFormat="1" ht="13.2" x14ac:dyDescent="0.3">
      <c r="A30" s="6"/>
      <c r="E30" s="5">
        <v>28</v>
      </c>
      <c r="F30" s="5">
        <f t="shared" si="1"/>
        <v>28</v>
      </c>
      <c r="G30" s="8">
        <f t="shared" ca="1" si="8"/>
        <v>0</v>
      </c>
      <c r="H30" s="8">
        <f t="shared" ca="1" si="2"/>
        <v>570.46757821063159</v>
      </c>
      <c r="I30" s="8">
        <f t="shared" ca="1" si="3"/>
        <v>14.818703128425263</v>
      </c>
      <c r="J30" s="8">
        <f t="shared" si="4"/>
        <v>400</v>
      </c>
      <c r="K30" s="8">
        <f t="shared" ca="1" si="5"/>
        <v>0.70117919979723986</v>
      </c>
      <c r="L30" s="8">
        <f t="shared" ca="1" si="6"/>
        <v>50</v>
      </c>
      <c r="M30" s="8">
        <f t="shared" ca="1" si="7"/>
        <v>35.058959989861989</v>
      </c>
      <c r="N30" s="8">
        <f t="shared" ca="1" si="0"/>
        <v>0.35058959989861987</v>
      </c>
      <c r="O30" s="8"/>
      <c r="P30" s="8"/>
      <c r="Q30" s="8"/>
      <c r="R30" s="8"/>
      <c r="S30" s="8"/>
    </row>
    <row r="31" spans="1:19" s="5" customFormat="1" ht="13.2" x14ac:dyDescent="0.3">
      <c r="A31" s="6"/>
      <c r="E31" s="5">
        <v>29</v>
      </c>
      <c r="F31" s="5">
        <f t="shared" si="1"/>
        <v>29</v>
      </c>
      <c r="G31" s="8">
        <f t="shared" ca="1" si="8"/>
        <v>12.724644191925966</v>
      </c>
      <c r="H31" s="8">
        <f t="shared" ca="1" si="2"/>
        <v>555.64887508220636</v>
      </c>
      <c r="I31" s="8">
        <f t="shared" ca="1" si="3"/>
        <v>2.2259550032882482</v>
      </c>
      <c r="J31" s="8">
        <f t="shared" si="4"/>
        <v>1000</v>
      </c>
      <c r="K31" s="8">
        <f t="shared" ca="1" si="5"/>
        <v>1.7996976955132922</v>
      </c>
      <c r="L31" s="8">
        <f t="shared" ca="1" si="6"/>
        <v>50.000000000000014</v>
      </c>
      <c r="M31" s="8">
        <f t="shared" ca="1" si="7"/>
        <v>89.984884775664639</v>
      </c>
      <c r="N31" s="8">
        <f t="shared" ca="1" si="0"/>
        <v>0.89984884775664642</v>
      </c>
      <c r="O31" s="8"/>
      <c r="P31" s="8"/>
      <c r="Q31" s="8"/>
      <c r="R31" s="8"/>
      <c r="S31" s="8"/>
    </row>
    <row r="32" spans="1:19" s="5" customFormat="1" ht="13.2" x14ac:dyDescent="0.3">
      <c r="A32" s="6"/>
      <c r="E32" s="5">
        <v>30</v>
      </c>
      <c r="F32" s="5">
        <f t="shared" si="1"/>
        <v>30</v>
      </c>
      <c r="G32" s="8">
        <f t="shared" ca="1" si="8"/>
        <v>0</v>
      </c>
      <c r="H32" s="8">
        <f t="shared" ca="1" si="2"/>
        <v>566.1475642708441</v>
      </c>
      <c r="I32" s="8">
        <f t="shared" ca="1" si="3"/>
        <v>0</v>
      </c>
      <c r="J32" s="8">
        <f t="shared" si="4"/>
        <v>1600</v>
      </c>
      <c r="K32" s="8">
        <f t="shared" ca="1" si="5"/>
        <v>2.8261183143314956</v>
      </c>
      <c r="L32" s="8">
        <f t="shared" ca="1" si="6"/>
        <v>50</v>
      </c>
      <c r="M32" s="8">
        <f t="shared" ca="1" si="7"/>
        <v>141.30591571657479</v>
      </c>
      <c r="N32" s="8">
        <f t="shared" ca="1" si="0"/>
        <v>1.4130591571657478</v>
      </c>
      <c r="O32" s="8"/>
      <c r="P32" s="8"/>
      <c r="Q32" s="8"/>
      <c r="R32" s="8"/>
      <c r="S32" s="8"/>
    </row>
    <row r="33" spans="1:19" s="5" customFormat="1" ht="13.2" x14ac:dyDescent="0.3">
      <c r="A33" s="6"/>
      <c r="E33" s="5">
        <v>31</v>
      </c>
      <c r="F33" s="5">
        <f t="shared" si="1"/>
        <v>31</v>
      </c>
      <c r="G33" s="8">
        <f t="shared" ca="1" si="8"/>
        <v>0</v>
      </c>
      <c r="H33" s="8">
        <f t="shared" ca="1" si="2"/>
        <v>566.1475642708441</v>
      </c>
      <c r="I33" s="8">
        <f t="shared" ca="1" si="3"/>
        <v>2.6459025708337647</v>
      </c>
      <c r="J33" s="8">
        <f t="shared" si="4"/>
        <v>1000</v>
      </c>
      <c r="K33" s="8">
        <f t="shared" ca="1" si="5"/>
        <v>1.7663239464571847</v>
      </c>
      <c r="L33" s="8">
        <f t="shared" ca="1" si="6"/>
        <v>50</v>
      </c>
      <c r="M33" s="8">
        <f t="shared" ca="1" si="7"/>
        <v>88.316197322859239</v>
      </c>
      <c r="N33" s="8">
        <f t="shared" ca="1" si="0"/>
        <v>0.88316197322859236</v>
      </c>
      <c r="O33" s="8"/>
      <c r="P33" s="8"/>
      <c r="Q33" s="8"/>
      <c r="R33" s="8"/>
      <c r="S33" s="8"/>
    </row>
    <row r="34" spans="1:19" s="5" customFormat="1" ht="13.2" x14ac:dyDescent="0.3">
      <c r="A34" s="6"/>
      <c r="E34" s="5">
        <v>32</v>
      </c>
      <c r="F34" s="5">
        <f t="shared" si="1"/>
        <v>32</v>
      </c>
      <c r="G34" s="8">
        <f t="shared" ca="1" si="8"/>
        <v>12.070751987834385</v>
      </c>
      <c r="H34" s="8">
        <f t="shared" ca="1" si="2"/>
        <v>563.50166170001035</v>
      </c>
      <c r="I34" s="8">
        <f t="shared" ca="1" si="3"/>
        <v>2.540066468000417</v>
      </c>
      <c r="J34" s="8">
        <f t="shared" si="4"/>
        <v>1000</v>
      </c>
      <c r="K34" s="8">
        <f t="shared" ca="1" si="5"/>
        <v>1.7746176594814851</v>
      </c>
      <c r="L34" s="8">
        <f t="shared" ca="1" si="6"/>
        <v>50</v>
      </c>
      <c r="M34" s="8">
        <f t="shared" ca="1" si="7"/>
        <v>88.730882974074248</v>
      </c>
      <c r="N34" s="8">
        <f t="shared" ca="1" si="0"/>
        <v>0.88730882974074243</v>
      </c>
      <c r="O34" s="8"/>
      <c r="P34" s="8"/>
      <c r="Q34" s="8"/>
      <c r="R34" s="8"/>
      <c r="S34" s="8"/>
    </row>
    <row r="35" spans="1:19" s="5" customFormat="1" ht="13.2" x14ac:dyDescent="0.3">
      <c r="A35" s="6"/>
      <c r="E35" s="5">
        <v>33</v>
      </c>
      <c r="F35" s="5">
        <f t="shared" si="1"/>
        <v>33</v>
      </c>
      <c r="G35" s="8">
        <f t="shared" ca="1" si="8"/>
        <v>0</v>
      </c>
      <c r="H35" s="8">
        <f t="shared" ref="H35:H66" ca="1" si="9">H34+(G34-I34)</f>
        <v>573.03234721984427</v>
      </c>
      <c r="I35" s="8">
        <f t="shared" ca="1" si="3"/>
        <v>0</v>
      </c>
      <c r="J35" s="8">
        <f t="shared" ref="J35:J66" si="10">IF(MOD(F35,3)=0,$B$6+$B$6*$B$12,IF(MOD(F35,7)=0,$B$6-$B$6*$B$12,$B$6))</f>
        <v>1600</v>
      </c>
      <c r="K35" s="8">
        <f t="shared" ca="1" si="5"/>
        <v>2.7921634926241938</v>
      </c>
      <c r="L35" s="8">
        <f t="shared" ca="1" si="6"/>
        <v>49.999999999999993</v>
      </c>
      <c r="M35" s="8">
        <f t="shared" ca="1" si="7"/>
        <v>139.60817463120966</v>
      </c>
      <c r="N35" s="8">
        <f t="shared" ca="1" si="0"/>
        <v>1.3960817463120967</v>
      </c>
      <c r="O35" s="8"/>
      <c r="P35" s="8"/>
      <c r="Q35" s="8"/>
      <c r="R35" s="8"/>
      <c r="S35" s="8"/>
    </row>
    <row r="36" spans="1:19" s="5" customFormat="1" ht="13.2" x14ac:dyDescent="0.3">
      <c r="A36" s="6"/>
      <c r="E36" s="5">
        <v>34</v>
      </c>
      <c r="F36" s="5">
        <f t="shared" si="1"/>
        <v>34</v>
      </c>
      <c r="G36" s="8">
        <f t="shared" ca="1" si="8"/>
        <v>0</v>
      </c>
      <c r="H36" s="8">
        <f t="shared" ca="1" si="9"/>
        <v>573.03234721984427</v>
      </c>
      <c r="I36" s="8">
        <f t="shared" ca="1" si="3"/>
        <v>2.9212938887937709</v>
      </c>
      <c r="J36" s="8">
        <f t="shared" si="10"/>
        <v>1000</v>
      </c>
      <c r="K36" s="8">
        <f t="shared" ca="1" si="5"/>
        <v>1.745102182890121</v>
      </c>
      <c r="L36" s="8">
        <f t="shared" ca="1" si="6"/>
        <v>50</v>
      </c>
      <c r="M36" s="8">
        <f t="shared" ca="1" si="7"/>
        <v>87.255109144506051</v>
      </c>
      <c r="N36" s="8">
        <f t="shared" ca="1" si="0"/>
        <v>0.87255109144506049</v>
      </c>
      <c r="O36" s="8"/>
      <c r="P36" s="8"/>
      <c r="Q36" s="8"/>
      <c r="R36" s="8"/>
      <c r="S36" s="8"/>
    </row>
    <row r="37" spans="1:19" s="5" customFormat="1" ht="13.2" x14ac:dyDescent="0.3">
      <c r="A37" s="6"/>
      <c r="E37" s="5">
        <v>35</v>
      </c>
      <c r="F37" s="5">
        <f t="shared" si="1"/>
        <v>35</v>
      </c>
      <c r="G37" s="8">
        <f t="shared" ca="1" si="8"/>
        <v>4.9567098859889738</v>
      </c>
      <c r="H37" s="8">
        <f t="shared" ca="1" si="9"/>
        <v>570.11105333105047</v>
      </c>
      <c r="I37" s="8">
        <f t="shared" ca="1" si="3"/>
        <v>14.804442133242018</v>
      </c>
      <c r="J37" s="8">
        <f t="shared" si="10"/>
        <v>400</v>
      </c>
      <c r="K37" s="8">
        <f t="shared" ca="1" si="5"/>
        <v>0.70161768950606385</v>
      </c>
      <c r="L37" s="8">
        <f t="shared" ca="1" si="6"/>
        <v>50</v>
      </c>
      <c r="M37" s="8">
        <f t="shared" ca="1" si="7"/>
        <v>35.080884475303193</v>
      </c>
      <c r="N37" s="8">
        <f t="shared" ca="1" si="0"/>
        <v>0.35080884475303192</v>
      </c>
      <c r="O37" s="8"/>
      <c r="P37" s="8"/>
      <c r="Q37" s="8"/>
      <c r="R37" s="8"/>
      <c r="S37" s="8"/>
    </row>
    <row r="38" spans="1:19" s="5" customFormat="1" ht="13.2" x14ac:dyDescent="0.3">
      <c r="A38" s="6"/>
      <c r="E38" s="5">
        <v>36</v>
      </c>
      <c r="F38" s="5">
        <f t="shared" si="1"/>
        <v>36</v>
      </c>
      <c r="G38" s="8">
        <f t="shared" ca="1" si="8"/>
        <v>0</v>
      </c>
      <c r="H38" s="8">
        <f t="shared" ca="1" si="9"/>
        <v>560.26332108379745</v>
      </c>
      <c r="I38" s="8">
        <f t="shared" ca="1" si="3"/>
        <v>0</v>
      </c>
      <c r="J38" s="8">
        <f t="shared" si="10"/>
        <v>1600</v>
      </c>
      <c r="K38" s="8">
        <f t="shared" ca="1" si="5"/>
        <v>2.8558000136523147</v>
      </c>
      <c r="L38" s="8">
        <f t="shared" ca="1" si="6"/>
        <v>50</v>
      </c>
      <c r="M38" s="8">
        <f t="shared" ca="1" si="7"/>
        <v>142.79000068261573</v>
      </c>
      <c r="N38" s="8">
        <f t="shared" ca="1" si="0"/>
        <v>1.4279000068261574</v>
      </c>
      <c r="O38" s="8"/>
      <c r="P38" s="8"/>
      <c r="Q38" s="8"/>
      <c r="R38" s="8"/>
      <c r="S38" s="8"/>
    </row>
    <row r="39" spans="1:19" s="5" customFormat="1" ht="13.2" x14ac:dyDescent="0.3">
      <c r="A39" s="6"/>
      <c r="E39" s="5">
        <v>37</v>
      </c>
      <c r="F39" s="5">
        <f t="shared" si="1"/>
        <v>37</v>
      </c>
      <c r="G39" s="8">
        <f t="shared" ca="1" si="8"/>
        <v>0</v>
      </c>
      <c r="H39" s="8">
        <f t="shared" ca="1" si="9"/>
        <v>560.26332108379745</v>
      </c>
      <c r="I39" s="8">
        <f t="shared" ca="1" si="3"/>
        <v>2.410532843351898</v>
      </c>
      <c r="J39" s="8">
        <f t="shared" si="10"/>
        <v>1000</v>
      </c>
      <c r="K39" s="8">
        <f t="shared" ca="1" si="5"/>
        <v>1.7848750085326968</v>
      </c>
      <c r="L39" s="8">
        <f t="shared" ca="1" si="6"/>
        <v>50</v>
      </c>
      <c r="M39" s="8">
        <f t="shared" ca="1" si="7"/>
        <v>89.243750426634833</v>
      </c>
      <c r="N39" s="8">
        <f t="shared" ca="1" si="0"/>
        <v>0.89243750426634838</v>
      </c>
      <c r="O39" s="8"/>
      <c r="P39" s="8"/>
      <c r="Q39" s="8"/>
      <c r="R39" s="8"/>
      <c r="S39" s="8"/>
    </row>
    <row r="40" spans="1:19" s="5" customFormat="1" ht="13.2" x14ac:dyDescent="0.3">
      <c r="A40" s="6"/>
      <c r="E40" s="5">
        <v>38</v>
      </c>
      <c r="F40" s="5">
        <f t="shared" si="1"/>
        <v>38</v>
      </c>
      <c r="G40" s="8">
        <f t="shared" ca="1" si="8"/>
        <v>11.8824523893629</v>
      </c>
      <c r="H40" s="8">
        <f t="shared" ca="1" si="9"/>
        <v>557.85278824044553</v>
      </c>
      <c r="I40" s="8">
        <f t="shared" ca="1" si="3"/>
        <v>2.3141115296178238</v>
      </c>
      <c r="J40" s="8">
        <f t="shared" si="10"/>
        <v>1000</v>
      </c>
      <c r="K40" s="8">
        <f t="shared" ca="1" si="5"/>
        <v>1.792587616446546</v>
      </c>
      <c r="L40" s="8">
        <f t="shared" ca="1" si="6"/>
        <v>50</v>
      </c>
      <c r="M40" s="8">
        <f t="shared" ca="1" si="7"/>
        <v>89.629380822327292</v>
      </c>
      <c r="N40" s="8">
        <f t="shared" ca="1" si="0"/>
        <v>0.89629380822327287</v>
      </c>
      <c r="O40" s="8"/>
      <c r="P40" s="8"/>
      <c r="Q40" s="8"/>
      <c r="R40" s="8"/>
      <c r="S40" s="8"/>
    </row>
    <row r="41" spans="1:19" s="5" customFormat="1" ht="13.2" x14ac:dyDescent="0.3">
      <c r="A41" s="6"/>
      <c r="E41" s="5">
        <v>39</v>
      </c>
      <c r="F41" s="5">
        <f t="shared" si="1"/>
        <v>39</v>
      </c>
      <c r="G41" s="8">
        <f t="shared" ca="1" si="8"/>
        <v>0</v>
      </c>
      <c r="H41" s="8">
        <f t="shared" ca="1" si="9"/>
        <v>567.42112910019057</v>
      </c>
      <c r="I41" s="8">
        <f t="shared" ca="1" si="3"/>
        <v>0</v>
      </c>
      <c r="J41" s="8">
        <f t="shared" si="10"/>
        <v>1600</v>
      </c>
      <c r="K41" s="8">
        <f t="shared" ca="1" si="5"/>
        <v>2.8197751510192441</v>
      </c>
      <c r="L41" s="8">
        <f t="shared" ca="1" si="6"/>
        <v>50</v>
      </c>
      <c r="M41" s="8">
        <f t="shared" ca="1" si="7"/>
        <v>140.98875755096222</v>
      </c>
      <c r="N41" s="8">
        <f t="shared" ca="1" si="0"/>
        <v>1.4098875755096223</v>
      </c>
      <c r="O41" s="8"/>
      <c r="P41" s="8"/>
      <c r="Q41" s="8"/>
      <c r="R41" s="8"/>
      <c r="S41" s="8"/>
    </row>
    <row r="42" spans="1:19" s="5" customFormat="1" ht="13.2" x14ac:dyDescent="0.3">
      <c r="A42" s="6"/>
      <c r="E42" s="5">
        <v>40</v>
      </c>
      <c r="F42" s="5">
        <f t="shared" si="1"/>
        <v>40</v>
      </c>
      <c r="G42" s="8">
        <f t="shared" ca="1" si="8"/>
        <v>0</v>
      </c>
      <c r="H42" s="8">
        <f t="shared" ca="1" si="9"/>
        <v>567.42112910019057</v>
      </c>
      <c r="I42" s="8">
        <f t="shared" ca="1" si="3"/>
        <v>2.6968451640076228</v>
      </c>
      <c r="J42" s="8">
        <f t="shared" si="10"/>
        <v>1000</v>
      </c>
      <c r="K42" s="8">
        <f t="shared" ca="1" si="5"/>
        <v>1.7623594693870277</v>
      </c>
      <c r="L42" s="8">
        <f t="shared" ca="1" si="6"/>
        <v>50</v>
      </c>
      <c r="M42" s="8">
        <f t="shared" ca="1" si="7"/>
        <v>88.117973469351384</v>
      </c>
      <c r="N42" s="8">
        <f t="shared" ca="1" si="0"/>
        <v>0.88117973469351385</v>
      </c>
      <c r="O42" s="8"/>
      <c r="P42" s="8"/>
      <c r="Q42" s="8"/>
      <c r="R42" s="8"/>
      <c r="S42" s="8"/>
    </row>
    <row r="43" spans="1:19" s="5" customFormat="1" ht="13.2" x14ac:dyDescent="0.3">
      <c r="A43" s="6"/>
      <c r="E43" s="5">
        <v>41</v>
      </c>
      <c r="F43" s="5">
        <f t="shared" si="1"/>
        <v>41</v>
      </c>
      <c r="G43" s="8">
        <f t="shared" ca="1" si="8"/>
        <v>12.83700020478472</v>
      </c>
      <c r="H43" s="8">
        <f t="shared" ca="1" si="9"/>
        <v>564.72428393618293</v>
      </c>
      <c r="I43" s="8">
        <f t="shared" ca="1" si="3"/>
        <v>2.588971357447317</v>
      </c>
      <c r="J43" s="8">
        <f t="shared" si="10"/>
        <v>1000</v>
      </c>
      <c r="K43" s="8">
        <f t="shared" ca="1" si="5"/>
        <v>1.7707756305960551</v>
      </c>
      <c r="L43" s="8">
        <f t="shared" ca="1" si="6"/>
        <v>50</v>
      </c>
      <c r="M43" s="8">
        <f t="shared" ca="1" si="7"/>
        <v>88.538781529802762</v>
      </c>
      <c r="N43" s="8">
        <f t="shared" ca="1" si="0"/>
        <v>0.88538781529802757</v>
      </c>
      <c r="O43" s="8"/>
      <c r="P43" s="8"/>
      <c r="Q43" s="8"/>
      <c r="R43" s="8"/>
      <c r="S43" s="8"/>
    </row>
    <row r="44" spans="1:19" s="5" customFormat="1" ht="13.2" x14ac:dyDescent="0.3">
      <c r="A44" s="6"/>
      <c r="E44" s="5">
        <v>42</v>
      </c>
      <c r="F44" s="5">
        <f t="shared" si="1"/>
        <v>42</v>
      </c>
      <c r="G44" s="8">
        <f t="shared" ca="1" si="8"/>
        <v>0</v>
      </c>
      <c r="H44" s="8">
        <f t="shared" ca="1" si="9"/>
        <v>574.97231278352035</v>
      </c>
      <c r="I44" s="8">
        <f t="shared" ca="1" si="3"/>
        <v>0</v>
      </c>
      <c r="J44" s="8">
        <f t="shared" si="10"/>
        <v>1600</v>
      </c>
      <c r="K44" s="8">
        <f t="shared" ca="1" si="5"/>
        <v>2.7827426893899969</v>
      </c>
      <c r="L44" s="8">
        <f t="shared" ca="1" si="6"/>
        <v>50</v>
      </c>
      <c r="M44" s="8">
        <f t="shared" ca="1" si="7"/>
        <v>139.13713446949984</v>
      </c>
      <c r="N44" s="8">
        <f t="shared" ca="1" si="0"/>
        <v>1.3913713446949985</v>
      </c>
      <c r="O44" s="8"/>
      <c r="P44" s="8"/>
      <c r="Q44" s="8"/>
      <c r="R44" s="8"/>
      <c r="S44" s="8"/>
    </row>
    <row r="45" spans="1:19" s="5" customFormat="1" ht="13.2" x14ac:dyDescent="0.3">
      <c r="A45" s="6"/>
      <c r="E45" s="5">
        <v>43</v>
      </c>
      <c r="F45" s="5">
        <f t="shared" si="1"/>
        <v>43</v>
      </c>
      <c r="G45" s="8">
        <f t="shared" ca="1" si="8"/>
        <v>0</v>
      </c>
      <c r="H45" s="8">
        <f t="shared" ca="1" si="9"/>
        <v>574.97231278352035</v>
      </c>
      <c r="I45" s="8">
        <f t="shared" ca="1" si="3"/>
        <v>2.9988925113408103</v>
      </c>
      <c r="J45" s="8">
        <f t="shared" si="10"/>
        <v>1000</v>
      </c>
      <c r="K45" s="8">
        <f t="shared" ca="1" si="5"/>
        <v>1.7392141808687482</v>
      </c>
      <c r="L45" s="8">
        <f t="shared" ca="1" si="6"/>
        <v>50</v>
      </c>
      <c r="M45" s="8">
        <f t="shared" ca="1" si="7"/>
        <v>86.960709043437419</v>
      </c>
      <c r="N45" s="8">
        <f t="shared" ca="1" si="0"/>
        <v>0.86960709043437423</v>
      </c>
      <c r="O45" s="8"/>
      <c r="P45" s="8"/>
      <c r="Q45" s="8"/>
      <c r="R45" s="8"/>
      <c r="S45" s="8"/>
    </row>
    <row r="46" spans="1:19" s="5" customFormat="1" ht="13.2" x14ac:dyDescent="0.3">
      <c r="A46" s="6"/>
      <c r="E46" s="5">
        <v>44</v>
      </c>
      <c r="F46" s="5">
        <f t="shared" si="1"/>
        <v>44</v>
      </c>
      <c r="G46" s="8">
        <f t="shared" ca="1" si="8"/>
        <v>12.296627265288668</v>
      </c>
      <c r="H46" s="8">
        <f t="shared" ca="1" si="9"/>
        <v>571.97342027217951</v>
      </c>
      <c r="I46" s="8">
        <f t="shared" ca="1" si="3"/>
        <v>2.8789368108871805</v>
      </c>
      <c r="J46" s="8">
        <f t="shared" si="10"/>
        <v>1000</v>
      </c>
      <c r="K46" s="8">
        <f t="shared" ca="1" si="5"/>
        <v>1.7483329898863824</v>
      </c>
      <c r="L46" s="8">
        <f t="shared" ca="1" si="6"/>
        <v>50</v>
      </c>
      <c r="M46" s="8">
        <f t="shared" ca="1" si="7"/>
        <v>87.416649494319117</v>
      </c>
      <c r="N46" s="8">
        <f t="shared" ca="1" si="0"/>
        <v>0.87416649494319121</v>
      </c>
      <c r="O46" s="8"/>
      <c r="P46" s="8"/>
      <c r="Q46" s="8"/>
      <c r="R46" s="8"/>
      <c r="S46" s="8"/>
    </row>
    <row r="47" spans="1:19" s="5" customFormat="1" ht="13.2" x14ac:dyDescent="0.3">
      <c r="A47" s="6"/>
      <c r="E47" s="5">
        <v>45</v>
      </c>
      <c r="F47" s="5">
        <f t="shared" si="1"/>
        <v>45</v>
      </c>
      <c r="G47" s="8">
        <f t="shared" ca="1" si="8"/>
        <v>0</v>
      </c>
      <c r="H47" s="8">
        <f t="shared" ca="1" si="9"/>
        <v>581.39111072658102</v>
      </c>
      <c r="I47" s="8">
        <f t="shared" ca="1" si="3"/>
        <v>0</v>
      </c>
      <c r="J47" s="8">
        <f t="shared" si="10"/>
        <v>1600</v>
      </c>
      <c r="K47" s="8">
        <f t="shared" ca="1" si="5"/>
        <v>2.7520200609886079</v>
      </c>
      <c r="L47" s="8">
        <f t="shared" ca="1" si="6"/>
        <v>50</v>
      </c>
      <c r="M47" s="8">
        <f t="shared" ca="1" si="7"/>
        <v>137.6010030494304</v>
      </c>
      <c r="N47" s="8">
        <f t="shared" ca="1" si="0"/>
        <v>1.3760100304943039</v>
      </c>
      <c r="O47" s="8"/>
      <c r="P47" s="8"/>
      <c r="Q47" s="8"/>
      <c r="R47" s="8"/>
      <c r="S47" s="8"/>
    </row>
    <row r="48" spans="1:19" s="5" customFormat="1" ht="13.2" x14ac:dyDescent="0.3">
      <c r="A48" s="6"/>
      <c r="E48" s="5">
        <v>46</v>
      </c>
      <c r="F48" s="5">
        <f t="shared" si="1"/>
        <v>46</v>
      </c>
      <c r="G48" s="8">
        <f t="shared" ca="1" si="8"/>
        <v>0</v>
      </c>
      <c r="H48" s="8">
        <f t="shared" ca="1" si="9"/>
        <v>581.39111072658102</v>
      </c>
      <c r="I48" s="8">
        <f t="shared" ca="1" si="3"/>
        <v>3.2556444290632416</v>
      </c>
      <c r="J48" s="8">
        <f t="shared" si="10"/>
        <v>1000</v>
      </c>
      <c r="K48" s="8">
        <f t="shared" ca="1" si="5"/>
        <v>1.7200125381178799</v>
      </c>
      <c r="L48" s="8">
        <f t="shared" ca="1" si="6"/>
        <v>50</v>
      </c>
      <c r="M48" s="8">
        <f t="shared" ca="1" si="7"/>
        <v>86.000626905893995</v>
      </c>
      <c r="N48" s="8">
        <f t="shared" ca="1" si="0"/>
        <v>0.86000626905893995</v>
      </c>
      <c r="O48" s="8"/>
      <c r="P48" s="8"/>
      <c r="Q48" s="8"/>
      <c r="R48" s="8"/>
      <c r="S48" s="8"/>
    </row>
    <row r="49" spans="1:19" s="5" customFormat="1" ht="13.2" x14ac:dyDescent="0.3">
      <c r="A49" s="6"/>
      <c r="E49" s="5">
        <v>47</v>
      </c>
      <c r="F49" s="5">
        <f t="shared" si="1"/>
        <v>47</v>
      </c>
      <c r="G49" s="8">
        <f t="shared" ca="1" si="8"/>
        <v>11.741140340849954</v>
      </c>
      <c r="H49" s="8">
        <f t="shared" ca="1" si="9"/>
        <v>578.13546629751772</v>
      </c>
      <c r="I49" s="8">
        <f t="shared" ca="1" si="3"/>
        <v>3.1254186519007101</v>
      </c>
      <c r="J49" s="8">
        <f t="shared" si="10"/>
        <v>1000</v>
      </c>
      <c r="K49" s="8">
        <f t="shared" ca="1" si="5"/>
        <v>1.7296984155014357</v>
      </c>
      <c r="L49" s="8">
        <f t="shared" ca="1" si="6"/>
        <v>49.999999999999993</v>
      </c>
      <c r="M49" s="8">
        <f t="shared" ca="1" si="7"/>
        <v>86.484920775071771</v>
      </c>
      <c r="N49" s="8">
        <f t="shared" ca="1" si="0"/>
        <v>0.86484920775071772</v>
      </c>
      <c r="O49" s="8"/>
      <c r="P49" s="8"/>
      <c r="Q49" s="8"/>
      <c r="R49" s="8"/>
      <c r="S49" s="8"/>
    </row>
    <row r="50" spans="1:19" s="5" customFormat="1" ht="13.2" x14ac:dyDescent="0.3">
      <c r="A50" s="6"/>
      <c r="E50" s="5">
        <v>48</v>
      </c>
      <c r="F50" s="5">
        <f t="shared" si="1"/>
        <v>48</v>
      </c>
      <c r="G50" s="8">
        <f t="shared" ca="1" si="8"/>
        <v>0</v>
      </c>
      <c r="H50" s="8">
        <f t="shared" ca="1" si="9"/>
        <v>586.75118798646702</v>
      </c>
      <c r="I50" s="8">
        <f t="shared" ca="1" si="3"/>
        <v>0</v>
      </c>
      <c r="J50" s="8">
        <f t="shared" si="10"/>
        <v>1600</v>
      </c>
      <c r="K50" s="8">
        <f t="shared" ca="1" si="5"/>
        <v>2.7268798645140584</v>
      </c>
      <c r="L50" s="8">
        <f t="shared" ca="1" si="6"/>
        <v>50</v>
      </c>
      <c r="M50" s="8">
        <f t="shared" ca="1" si="7"/>
        <v>136.34399322570292</v>
      </c>
      <c r="N50" s="8">
        <f t="shared" ca="1" si="0"/>
        <v>1.3634399322570292</v>
      </c>
      <c r="O50" s="8"/>
      <c r="P50" s="8"/>
      <c r="Q50" s="8"/>
      <c r="R50" s="8"/>
      <c r="S50" s="8"/>
    </row>
    <row r="51" spans="1:19" s="5" customFormat="1" ht="13.2" x14ac:dyDescent="0.3">
      <c r="A51" s="6"/>
      <c r="E51" s="5">
        <v>49</v>
      </c>
      <c r="F51" s="5">
        <f t="shared" si="1"/>
        <v>49</v>
      </c>
      <c r="G51" s="8">
        <f t="shared" ca="1" si="8"/>
        <v>0</v>
      </c>
      <c r="H51" s="8">
        <f t="shared" ca="1" si="9"/>
        <v>586.75118798646702</v>
      </c>
      <c r="I51" s="8">
        <f t="shared" ca="1" si="3"/>
        <v>15.47004751945868</v>
      </c>
      <c r="J51" s="8">
        <f t="shared" si="10"/>
        <v>400</v>
      </c>
      <c r="K51" s="8">
        <f t="shared" ca="1" si="5"/>
        <v>0.6817199661285146</v>
      </c>
      <c r="L51" s="8">
        <f t="shared" ca="1" si="6"/>
        <v>50</v>
      </c>
      <c r="M51" s="8">
        <f t="shared" ca="1" si="7"/>
        <v>34.085998306425729</v>
      </c>
      <c r="N51" s="8">
        <f t="shared" ca="1" si="0"/>
        <v>0.3408599830642573</v>
      </c>
      <c r="O51" s="8"/>
      <c r="P51" s="8"/>
      <c r="Q51" s="8"/>
      <c r="R51" s="8"/>
      <c r="S51" s="8"/>
    </row>
    <row r="52" spans="1:19" s="5" customFormat="1" ht="13.2" x14ac:dyDescent="0.3">
      <c r="A52" s="6"/>
      <c r="E52" s="5">
        <v>50</v>
      </c>
      <c r="F52" s="5">
        <f t="shared" si="1"/>
        <v>50</v>
      </c>
      <c r="G52" s="8">
        <f t="shared" ca="1" si="8"/>
        <v>11.280300914829118</v>
      </c>
      <c r="H52" s="8">
        <f t="shared" ca="1" si="9"/>
        <v>571.2811404670083</v>
      </c>
      <c r="I52" s="8">
        <f t="shared" ca="1" si="3"/>
        <v>2.8512456186803354</v>
      </c>
      <c r="J52" s="8">
        <f t="shared" si="10"/>
        <v>1000</v>
      </c>
      <c r="K52" s="8">
        <f t="shared" ca="1" si="5"/>
        <v>1.7504516238406269</v>
      </c>
      <c r="L52" s="8">
        <f t="shared" ca="1" si="6"/>
        <v>50</v>
      </c>
      <c r="M52" s="8">
        <f t="shared" ca="1" si="7"/>
        <v>87.522581192031339</v>
      </c>
      <c r="N52" s="8">
        <f t="shared" ca="1" si="0"/>
        <v>0.87522581192031335</v>
      </c>
      <c r="O52" s="8"/>
      <c r="P52" s="8"/>
      <c r="Q52" s="8"/>
      <c r="R52" s="8"/>
      <c r="S52" s="8"/>
    </row>
    <row r="53" spans="1:19" s="5" customFormat="1" ht="13.2" x14ac:dyDescent="0.3">
      <c r="A53" s="6"/>
      <c r="E53" s="5">
        <v>51</v>
      </c>
      <c r="F53" s="5">
        <f t="shared" si="1"/>
        <v>51</v>
      </c>
      <c r="G53" s="8">
        <f t="shared" ca="1" si="8"/>
        <v>0</v>
      </c>
      <c r="H53" s="8">
        <f t="shared" ca="1" si="9"/>
        <v>579.71019576315712</v>
      </c>
      <c r="I53" s="8">
        <f t="shared" ca="1" si="3"/>
        <v>0</v>
      </c>
      <c r="J53" s="8">
        <f t="shared" si="10"/>
        <v>1600</v>
      </c>
      <c r="K53" s="8">
        <f t="shared" ca="1" si="5"/>
        <v>2.75999975797163</v>
      </c>
      <c r="L53" s="8">
        <f t="shared" ca="1" si="6"/>
        <v>50</v>
      </c>
      <c r="M53" s="8">
        <f t="shared" ca="1" si="7"/>
        <v>137.99998789858151</v>
      </c>
      <c r="N53" s="8">
        <f t="shared" ca="1" si="0"/>
        <v>1.379999878985815</v>
      </c>
      <c r="O53" s="8"/>
      <c r="P53" s="8"/>
      <c r="Q53" s="8"/>
      <c r="R53" s="8"/>
      <c r="S53" s="8"/>
    </row>
    <row r="54" spans="1:19" s="5" customFormat="1" ht="13.2" x14ac:dyDescent="0.3">
      <c r="A54" s="6"/>
      <c r="E54" s="5">
        <v>52</v>
      </c>
      <c r="F54" s="5">
        <f t="shared" si="1"/>
        <v>52</v>
      </c>
      <c r="G54" s="8">
        <f t="shared" ca="1" si="8"/>
        <v>0</v>
      </c>
      <c r="H54" s="8">
        <f t="shared" ca="1" si="9"/>
        <v>579.71019576315712</v>
      </c>
      <c r="I54" s="8">
        <f t="shared" ca="1" si="3"/>
        <v>3.1884078305262848</v>
      </c>
      <c r="J54" s="8">
        <f t="shared" si="10"/>
        <v>1000</v>
      </c>
      <c r="K54" s="8">
        <f t="shared" ca="1" si="5"/>
        <v>1.7249998487322689</v>
      </c>
      <c r="L54" s="8">
        <f t="shared" ca="1" si="6"/>
        <v>50</v>
      </c>
      <c r="M54" s="8">
        <f t="shared" ca="1" si="7"/>
        <v>86.249992436613439</v>
      </c>
      <c r="N54" s="8">
        <f t="shared" ca="1" si="0"/>
        <v>0.86249992436613443</v>
      </c>
      <c r="O54" s="8"/>
      <c r="P54" s="8"/>
      <c r="Q54" s="8"/>
      <c r="R54" s="8"/>
      <c r="S54" s="8"/>
    </row>
    <row r="55" spans="1:19" s="5" customFormat="1" ht="13.2" x14ac:dyDescent="0.3">
      <c r="A55" s="6"/>
      <c r="E55" s="5">
        <v>53</v>
      </c>
      <c r="F55" s="5">
        <f t="shared" si="1"/>
        <v>53</v>
      </c>
      <c r="G55" s="8">
        <f t="shared" ca="1" si="8"/>
        <v>10.903197967710875</v>
      </c>
      <c r="H55" s="8">
        <f t="shared" ca="1" si="9"/>
        <v>576.52178793263079</v>
      </c>
      <c r="I55" s="8">
        <f t="shared" ca="1" si="3"/>
        <v>3.0608715173052352</v>
      </c>
      <c r="J55" s="8">
        <f t="shared" si="10"/>
        <v>1000</v>
      </c>
      <c r="K55" s="8">
        <f t="shared" ca="1" si="5"/>
        <v>1.7345398230064022</v>
      </c>
      <c r="L55" s="8">
        <f t="shared" ca="1" si="6"/>
        <v>50</v>
      </c>
      <c r="M55" s="8">
        <f t="shared" ca="1" si="7"/>
        <v>86.726991150320103</v>
      </c>
      <c r="N55" s="8">
        <f t="shared" ca="1" si="0"/>
        <v>0.86726991150320099</v>
      </c>
      <c r="O55" s="8"/>
      <c r="P55" s="8"/>
      <c r="Q55" s="8"/>
      <c r="R55" s="8"/>
      <c r="S55" s="8"/>
    </row>
    <row r="56" spans="1:19" s="5" customFormat="1" ht="13.2" x14ac:dyDescent="0.3">
      <c r="A56" s="6"/>
      <c r="E56" s="5">
        <v>54</v>
      </c>
      <c r="F56" s="5">
        <f t="shared" si="1"/>
        <v>54</v>
      </c>
      <c r="G56" s="8">
        <f t="shared" ca="1" si="8"/>
        <v>0</v>
      </c>
      <c r="H56" s="8">
        <f t="shared" ca="1" si="9"/>
        <v>584.36411438303639</v>
      </c>
      <c r="I56" s="8">
        <f t="shared" ca="1" si="3"/>
        <v>0</v>
      </c>
      <c r="J56" s="8">
        <f t="shared" si="10"/>
        <v>1600</v>
      </c>
      <c r="K56" s="8">
        <f t="shared" ca="1" si="5"/>
        <v>2.7380189176901424</v>
      </c>
      <c r="L56" s="8">
        <f t="shared" ca="1" si="6"/>
        <v>50.000000000000014</v>
      </c>
      <c r="M56" s="8">
        <f t="shared" ca="1" si="7"/>
        <v>136.90094588450717</v>
      </c>
      <c r="N56" s="8">
        <f t="shared" ca="1" si="0"/>
        <v>1.3690094588450716</v>
      </c>
      <c r="O56" s="8"/>
      <c r="P56" s="8"/>
      <c r="Q56" s="8"/>
      <c r="R56" s="8"/>
      <c r="S56" s="8"/>
    </row>
    <row r="57" spans="1:19" s="5" customFormat="1" ht="13.2" x14ac:dyDescent="0.3">
      <c r="A57" s="6"/>
      <c r="E57" s="5">
        <v>55</v>
      </c>
      <c r="F57" s="5">
        <f t="shared" si="1"/>
        <v>55</v>
      </c>
      <c r="G57" s="8">
        <f t="shared" ca="1" si="8"/>
        <v>0</v>
      </c>
      <c r="H57" s="8">
        <f t="shared" ca="1" si="9"/>
        <v>584.36411438303639</v>
      </c>
      <c r="I57" s="8">
        <f t="shared" ca="1" si="3"/>
        <v>3.374564575321457</v>
      </c>
      <c r="J57" s="8">
        <f t="shared" si="10"/>
        <v>1000</v>
      </c>
      <c r="K57" s="8">
        <f t="shared" ca="1" si="5"/>
        <v>1.711261823556339</v>
      </c>
      <c r="L57" s="8">
        <f t="shared" ca="1" si="6"/>
        <v>50</v>
      </c>
      <c r="M57" s="8">
        <f t="shared" ca="1" si="7"/>
        <v>85.563091177816958</v>
      </c>
      <c r="N57" s="8">
        <f t="shared" ca="1" si="0"/>
        <v>0.85563091177816952</v>
      </c>
      <c r="O57" s="8"/>
      <c r="P57" s="8"/>
      <c r="Q57" s="8"/>
      <c r="R57" s="8"/>
      <c r="S57" s="8"/>
    </row>
    <row r="58" spans="1:19" s="5" customFormat="1" ht="13.2" x14ac:dyDescent="0.3">
      <c r="A58" s="6"/>
      <c r="E58" s="5">
        <v>56</v>
      </c>
      <c r="F58" s="5">
        <f t="shared" si="1"/>
        <v>56</v>
      </c>
      <c r="G58" s="8">
        <f t="shared" ca="1" si="8"/>
        <v>4.55999854782978</v>
      </c>
      <c r="H58" s="8">
        <f t="shared" ca="1" si="9"/>
        <v>580.98954980771498</v>
      </c>
      <c r="I58" s="8">
        <f t="shared" ca="1" si="3"/>
        <v>15.239581992308603</v>
      </c>
      <c r="J58" s="8">
        <f t="shared" si="10"/>
        <v>400</v>
      </c>
      <c r="K58" s="8">
        <f t="shared" ca="1" si="5"/>
        <v>0.68848054174534545</v>
      </c>
      <c r="L58" s="8">
        <f t="shared" ca="1" si="6"/>
        <v>50</v>
      </c>
      <c r="M58" s="8">
        <f t="shared" ca="1" si="7"/>
        <v>34.42402708726727</v>
      </c>
      <c r="N58" s="8">
        <f t="shared" ca="1" si="0"/>
        <v>0.34424027087267267</v>
      </c>
      <c r="O58" s="8"/>
      <c r="P58" s="8"/>
      <c r="Q58" s="8"/>
      <c r="R58" s="8"/>
      <c r="S58" s="8"/>
    </row>
    <row r="59" spans="1:19" s="5" customFormat="1" ht="13.2" x14ac:dyDescent="0.3">
      <c r="A59" s="6"/>
      <c r="E59" s="5">
        <v>57</v>
      </c>
      <c r="F59" s="5">
        <f t="shared" si="1"/>
        <v>57</v>
      </c>
      <c r="G59" s="8">
        <f t="shared" ca="1" si="8"/>
        <v>0</v>
      </c>
      <c r="H59" s="8">
        <f t="shared" ca="1" si="9"/>
        <v>570.30996636323619</v>
      </c>
      <c r="I59" s="8">
        <f t="shared" ca="1" si="3"/>
        <v>0</v>
      </c>
      <c r="J59" s="8">
        <f t="shared" si="10"/>
        <v>1600</v>
      </c>
      <c r="K59" s="8">
        <f t="shared" ca="1" si="5"/>
        <v>2.8054919155681453</v>
      </c>
      <c r="L59" s="8">
        <f t="shared" ca="1" si="6"/>
        <v>50</v>
      </c>
      <c r="M59" s="8">
        <f t="shared" ca="1" si="7"/>
        <v>140.27459577840727</v>
      </c>
      <c r="N59" s="8">
        <f t="shared" ca="1" si="0"/>
        <v>1.4027459577840728</v>
      </c>
      <c r="O59" s="8"/>
      <c r="P59" s="8"/>
      <c r="Q59" s="8"/>
      <c r="R59" s="8"/>
      <c r="S59" s="8"/>
    </row>
    <row r="60" spans="1:19" s="5" customFormat="1" ht="13.2" x14ac:dyDescent="0.3">
      <c r="A60" s="6"/>
      <c r="E60" s="5">
        <v>58</v>
      </c>
      <c r="F60" s="5">
        <f t="shared" si="1"/>
        <v>58</v>
      </c>
      <c r="G60" s="8">
        <f t="shared" ca="1" si="8"/>
        <v>0</v>
      </c>
      <c r="H60" s="8">
        <f t="shared" ca="1" si="9"/>
        <v>570.30996636323619</v>
      </c>
      <c r="I60" s="8">
        <f t="shared" ca="1" si="3"/>
        <v>2.8123986545294475</v>
      </c>
      <c r="J60" s="8">
        <f t="shared" si="10"/>
        <v>1000</v>
      </c>
      <c r="K60" s="8">
        <f t="shared" ca="1" si="5"/>
        <v>1.7534324472300908</v>
      </c>
      <c r="L60" s="8">
        <f t="shared" ca="1" si="6"/>
        <v>50</v>
      </c>
      <c r="M60" s="8">
        <f t="shared" ca="1" si="7"/>
        <v>87.671622361504546</v>
      </c>
      <c r="N60" s="8">
        <f t="shared" ca="1" si="0"/>
        <v>0.87671622361504542</v>
      </c>
      <c r="O60" s="8"/>
      <c r="P60" s="8"/>
      <c r="Q60" s="8"/>
      <c r="R60" s="8"/>
      <c r="S60" s="8"/>
    </row>
    <row r="61" spans="1:19" s="5" customFormat="1" ht="13.2" x14ac:dyDescent="0.3">
      <c r="A61" s="6"/>
      <c r="E61" s="5">
        <v>59</v>
      </c>
      <c r="F61" s="5">
        <f t="shared" si="1"/>
        <v>59</v>
      </c>
      <c r="G61" s="8">
        <f t="shared" ca="1" si="8"/>
        <v>11.07028376535215</v>
      </c>
      <c r="H61" s="8">
        <f t="shared" ca="1" si="9"/>
        <v>567.4975677087067</v>
      </c>
      <c r="I61" s="8">
        <f t="shared" ca="1" si="3"/>
        <v>2.6999027083482687</v>
      </c>
      <c r="J61" s="8">
        <f t="shared" si="10"/>
        <v>1000</v>
      </c>
      <c r="K61" s="8">
        <f t="shared" ca="1" si="5"/>
        <v>1.7621220898576508</v>
      </c>
      <c r="L61" s="8">
        <f t="shared" ca="1" si="6"/>
        <v>50</v>
      </c>
      <c r="M61" s="8">
        <f t="shared" ca="1" si="7"/>
        <v>88.106104492882537</v>
      </c>
      <c r="N61" s="8">
        <f t="shared" ca="1" si="0"/>
        <v>0.88106104492882542</v>
      </c>
      <c r="O61" s="8"/>
      <c r="P61" s="8"/>
      <c r="Q61" s="8"/>
      <c r="R61" s="8"/>
      <c r="S61" s="8"/>
    </row>
    <row r="62" spans="1:19" s="5" customFormat="1" ht="13.2" x14ac:dyDescent="0.3">
      <c r="A62" s="6"/>
      <c r="E62" s="5">
        <v>60</v>
      </c>
      <c r="F62" s="5">
        <f t="shared" si="1"/>
        <v>60</v>
      </c>
      <c r="G62" s="8">
        <f t="shared" ca="1" si="8"/>
        <v>0</v>
      </c>
      <c r="H62" s="8">
        <f t="shared" ca="1" si="9"/>
        <v>575.86794876571059</v>
      </c>
      <c r="I62" s="8">
        <f t="shared" ca="1" si="3"/>
        <v>0</v>
      </c>
      <c r="J62" s="8">
        <f t="shared" si="10"/>
        <v>1600</v>
      </c>
      <c r="K62" s="8">
        <f t="shared" ca="1" si="5"/>
        <v>2.7784147449590968</v>
      </c>
      <c r="L62" s="8">
        <f t="shared" ca="1" si="6"/>
        <v>50</v>
      </c>
      <c r="M62" s="8">
        <f t="shared" ca="1" si="7"/>
        <v>138.92073724795483</v>
      </c>
      <c r="N62" s="8">
        <f t="shared" ca="1" si="0"/>
        <v>1.3892073724795484</v>
      </c>
      <c r="O62" s="8"/>
      <c r="P62" s="8"/>
      <c r="Q62" s="8"/>
      <c r="R62" s="8"/>
      <c r="S62" s="8"/>
    </row>
    <row r="63" spans="1:19" s="5" customFormat="1" ht="13.2" x14ac:dyDescent="0.3">
      <c r="A63" s="6"/>
      <c r="E63" s="5">
        <v>61</v>
      </c>
      <c r="F63" s="5">
        <f t="shared" si="1"/>
        <v>61</v>
      </c>
      <c r="G63" s="8">
        <f t="shared" ca="1" si="8"/>
        <v>0</v>
      </c>
      <c r="H63" s="8">
        <f t="shared" ca="1" si="9"/>
        <v>575.86794876571059</v>
      </c>
      <c r="I63" s="8">
        <f t="shared" ca="1" si="3"/>
        <v>3.0347179506284232</v>
      </c>
      <c r="J63" s="8">
        <f t="shared" si="10"/>
        <v>1000</v>
      </c>
      <c r="K63" s="8">
        <f t="shared" ca="1" si="5"/>
        <v>1.7365092155994355</v>
      </c>
      <c r="L63" s="8">
        <f t="shared" ca="1" si="6"/>
        <v>50</v>
      </c>
      <c r="M63" s="8">
        <f t="shared" ca="1" si="7"/>
        <v>86.825460779971777</v>
      </c>
      <c r="N63" s="8">
        <f t="shared" ca="1" si="0"/>
        <v>0.86825460779971775</v>
      </c>
      <c r="O63" s="8"/>
      <c r="P63" s="8"/>
      <c r="Q63" s="8"/>
      <c r="R63" s="8"/>
      <c r="S63" s="8"/>
    </row>
    <row r="64" spans="1:19" s="5" customFormat="1" ht="13.2" x14ac:dyDescent="0.3">
      <c r="A64" s="6"/>
      <c r="E64" s="5">
        <v>62</v>
      </c>
      <c r="F64" s="5">
        <f t="shared" si="1"/>
        <v>62</v>
      </c>
      <c r="G64" s="8">
        <f t="shared" ca="1" si="8"/>
        <v>12.082378733522185</v>
      </c>
      <c r="H64" s="8">
        <f t="shared" ca="1" si="9"/>
        <v>572.83323081508217</v>
      </c>
      <c r="I64" s="8">
        <f t="shared" ca="1" si="3"/>
        <v>2.9133292326032874</v>
      </c>
      <c r="J64" s="8">
        <f t="shared" si="10"/>
        <v>1000</v>
      </c>
      <c r="K64" s="8">
        <f t="shared" ca="1" si="5"/>
        <v>1.7457087791102899</v>
      </c>
      <c r="L64" s="8">
        <f t="shared" ca="1" si="6"/>
        <v>50</v>
      </c>
      <c r="M64" s="8">
        <f t="shared" ca="1" si="7"/>
        <v>87.285438955514493</v>
      </c>
      <c r="N64" s="8">
        <f t="shared" ca="1" si="0"/>
        <v>0.87285438955514494</v>
      </c>
      <c r="O64" s="8"/>
      <c r="P64" s="8"/>
      <c r="Q64" s="8"/>
      <c r="R64" s="8"/>
      <c r="S64" s="8"/>
    </row>
    <row r="65" spans="1:19" s="5" customFormat="1" ht="13.2" x14ac:dyDescent="0.3">
      <c r="A65" s="6"/>
      <c r="E65" s="5">
        <v>63</v>
      </c>
      <c r="F65" s="5">
        <f t="shared" si="1"/>
        <v>63</v>
      </c>
      <c r="G65" s="8">
        <f t="shared" ca="1" si="8"/>
        <v>0</v>
      </c>
      <c r="H65" s="8">
        <f t="shared" ca="1" si="9"/>
        <v>582.00228031600102</v>
      </c>
      <c r="I65" s="8">
        <f t="shared" ca="1" si="3"/>
        <v>0</v>
      </c>
      <c r="J65" s="8">
        <f t="shared" si="10"/>
        <v>1600</v>
      </c>
      <c r="K65" s="8">
        <f t="shared" ca="1" si="5"/>
        <v>2.7491301221900231</v>
      </c>
      <c r="L65" s="8">
        <f t="shared" ca="1" si="6"/>
        <v>50</v>
      </c>
      <c r="M65" s="8">
        <f t="shared" ca="1" si="7"/>
        <v>137.45650610950116</v>
      </c>
      <c r="N65" s="8">
        <f t="shared" ca="1" si="0"/>
        <v>1.3745650610950115</v>
      </c>
      <c r="O65" s="8"/>
      <c r="P65" s="8"/>
      <c r="Q65" s="8"/>
      <c r="R65" s="8"/>
      <c r="S65" s="8"/>
    </row>
    <row r="66" spans="1:19" s="5" customFormat="1" ht="13.2" x14ac:dyDescent="0.3">
      <c r="A66" s="6"/>
      <c r="E66" s="5">
        <v>64</v>
      </c>
      <c r="F66" s="5">
        <f t="shared" si="1"/>
        <v>64</v>
      </c>
      <c r="G66" s="8">
        <f t="shared" ca="1" si="8"/>
        <v>0</v>
      </c>
      <c r="H66" s="8">
        <f t="shared" ca="1" si="9"/>
        <v>582.00228031600102</v>
      </c>
      <c r="I66" s="8">
        <f t="shared" ca="1" si="3"/>
        <v>3.2800912126400421</v>
      </c>
      <c r="J66" s="8">
        <f t="shared" si="10"/>
        <v>1000</v>
      </c>
      <c r="K66" s="8">
        <f t="shared" ca="1" si="5"/>
        <v>1.7182063263687646</v>
      </c>
      <c r="L66" s="8">
        <f t="shared" ca="1" si="6"/>
        <v>49.999999999999993</v>
      </c>
      <c r="M66" s="8">
        <f t="shared" ca="1" si="7"/>
        <v>85.91031631843822</v>
      </c>
      <c r="N66" s="8">
        <f t="shared" ref="N66:N129" ca="1" si="11">M66/$B$10</f>
        <v>0.85910316318438218</v>
      </c>
      <c r="O66" s="8"/>
      <c r="P66" s="8"/>
      <c r="Q66" s="8"/>
      <c r="R66" s="8"/>
      <c r="S66" s="8"/>
    </row>
    <row r="67" spans="1:19" s="5" customFormat="1" ht="13.2" x14ac:dyDescent="0.3">
      <c r="A67" s="6"/>
      <c r="E67" s="5">
        <v>65</v>
      </c>
      <c r="F67" s="5">
        <f t="shared" ref="F67:F130" si="12">E67*$B$2</f>
        <v>65</v>
      </c>
      <c r="G67" s="8">
        <f t="shared" ca="1" si="8"/>
        <v>11.676221174386452</v>
      </c>
      <c r="H67" s="8">
        <f t="shared" ref="H67:H98" ca="1" si="13">H66+(G66-I66)</f>
        <v>578.72218910336096</v>
      </c>
      <c r="I67" s="8">
        <f t="shared" ref="I67:I130" ca="1" si="14">H67*$B$5*$B$2*MAX(0,1-N67)</f>
        <v>3.1488875641344345</v>
      </c>
      <c r="J67" s="8">
        <f t="shared" ref="J67:J98" si="15">IF(MOD(F67,3)=0,$B$6+$B$6*$B$12,IF(MOD(F67,7)=0,$B$6-$B$6*$B$12,$B$6))</f>
        <v>1000</v>
      </c>
      <c r="K67" s="8">
        <f t="shared" ca="1" si="5"/>
        <v>1.7279448046554819</v>
      </c>
      <c r="L67" s="8">
        <f t="shared" ca="1" si="6"/>
        <v>50.000000000000014</v>
      </c>
      <c r="M67" s="8">
        <f t="shared" ca="1" si="7"/>
        <v>86.397240232774124</v>
      </c>
      <c r="N67" s="8">
        <f t="shared" ca="1" si="11"/>
        <v>0.8639724023277412</v>
      </c>
      <c r="O67" s="8"/>
      <c r="P67" s="8"/>
      <c r="Q67" s="8"/>
      <c r="R67" s="8"/>
      <c r="S67" s="8"/>
    </row>
    <row r="68" spans="1:19" s="5" customFormat="1" ht="13.2" x14ac:dyDescent="0.3">
      <c r="A68" s="6"/>
      <c r="E68" s="5">
        <v>66</v>
      </c>
      <c r="F68" s="5">
        <f t="shared" si="12"/>
        <v>66</v>
      </c>
      <c r="G68" s="8">
        <f t="shared" ca="1" si="8"/>
        <v>0</v>
      </c>
      <c r="H68" s="8">
        <f t="shared" ca="1" si="13"/>
        <v>587.24952271361303</v>
      </c>
      <c r="I68" s="8">
        <f t="shared" ca="1" si="14"/>
        <v>0</v>
      </c>
      <c r="J68" s="8">
        <f t="shared" si="15"/>
        <v>1600</v>
      </c>
      <c r="K68" s="8">
        <f t="shared" ref="K68:K131" ca="1" si="16">MIN($B$11,J68/H68)</f>
        <v>2.7245658584899015</v>
      </c>
      <c r="L68" s="8">
        <f t="shared" ref="L68:L131" ca="1" si="17">$B$8*(J68/(H68*K68))</f>
        <v>50</v>
      </c>
      <c r="M68" s="8">
        <f t="shared" ref="M68:M131" ca="1" si="18">K68*L68</f>
        <v>136.22829292449507</v>
      </c>
      <c r="N68" s="8">
        <f t="shared" ca="1" si="11"/>
        <v>1.3622829292449508</v>
      </c>
      <c r="O68" s="8"/>
      <c r="P68" s="8"/>
      <c r="Q68" s="8"/>
      <c r="R68" s="8"/>
      <c r="S68" s="8"/>
    </row>
    <row r="69" spans="1:19" s="5" customFormat="1" ht="13.2" x14ac:dyDescent="0.3">
      <c r="A69" s="6"/>
      <c r="E69" s="5">
        <v>67</v>
      </c>
      <c r="F69" s="5">
        <f t="shared" si="12"/>
        <v>67</v>
      </c>
      <c r="G69" s="8">
        <f t="shared" ca="1" si="8"/>
        <v>0</v>
      </c>
      <c r="H69" s="8">
        <f t="shared" ca="1" si="13"/>
        <v>587.24952271361303</v>
      </c>
      <c r="I69" s="8">
        <f t="shared" ca="1" si="14"/>
        <v>3.489980908544521</v>
      </c>
      <c r="J69" s="8">
        <f t="shared" si="15"/>
        <v>1000</v>
      </c>
      <c r="K69" s="8">
        <f t="shared" ca="1" si="16"/>
        <v>1.7028536615561884</v>
      </c>
      <c r="L69" s="8">
        <f t="shared" ca="1" si="17"/>
        <v>50</v>
      </c>
      <c r="M69" s="8">
        <f t="shared" ca="1" si="18"/>
        <v>85.142683077809423</v>
      </c>
      <c r="N69" s="8">
        <f t="shared" ca="1" si="11"/>
        <v>0.85142683077809422</v>
      </c>
      <c r="O69" s="8"/>
      <c r="P69" s="8"/>
      <c r="Q69" s="8"/>
      <c r="R69" s="8"/>
      <c r="S69" s="8"/>
    </row>
    <row r="70" spans="1:19" s="5" customFormat="1" ht="13.2" x14ac:dyDescent="0.3">
      <c r="A70" s="6"/>
      <c r="E70" s="5">
        <v>68</v>
      </c>
      <c r="F70" s="5">
        <f t="shared" si="12"/>
        <v>68</v>
      </c>
      <c r="G70" s="8">
        <f t="shared" ca="1" si="8"/>
        <v>11.236951832850346</v>
      </c>
      <c r="H70" s="8">
        <f t="shared" ca="1" si="13"/>
        <v>583.75954180506847</v>
      </c>
      <c r="I70" s="8">
        <f t="shared" ca="1" si="14"/>
        <v>3.3503816722027371</v>
      </c>
      <c r="J70" s="8">
        <f t="shared" si="15"/>
        <v>1000</v>
      </c>
      <c r="K70" s="8">
        <f t="shared" ca="1" si="16"/>
        <v>1.7130340977517149</v>
      </c>
      <c r="L70" s="8">
        <f t="shared" ca="1" si="17"/>
        <v>50</v>
      </c>
      <c r="M70" s="8">
        <f t="shared" ca="1" si="18"/>
        <v>85.651704887585751</v>
      </c>
      <c r="N70" s="8">
        <f t="shared" ca="1" si="11"/>
        <v>0.85651704887585756</v>
      </c>
      <c r="O70" s="8"/>
      <c r="P70" s="8"/>
      <c r="Q70" s="8"/>
      <c r="R70" s="8"/>
      <c r="S70" s="8"/>
    </row>
    <row r="71" spans="1:19" s="5" customFormat="1" ht="13.2" x14ac:dyDescent="0.3">
      <c r="A71" s="6"/>
      <c r="E71" s="5">
        <v>69</v>
      </c>
      <c r="F71" s="5">
        <f t="shared" si="12"/>
        <v>69</v>
      </c>
      <c r="G71" s="8">
        <f t="shared" ca="1" si="8"/>
        <v>0</v>
      </c>
      <c r="H71" s="8">
        <f t="shared" ca="1" si="13"/>
        <v>591.64611196571605</v>
      </c>
      <c r="I71" s="8">
        <f t="shared" ca="1" si="14"/>
        <v>0</v>
      </c>
      <c r="J71" s="8">
        <f t="shared" si="15"/>
        <v>1600</v>
      </c>
      <c r="K71" s="8">
        <f t="shared" ca="1" si="16"/>
        <v>2.7043193010836766</v>
      </c>
      <c r="L71" s="8">
        <f t="shared" ca="1" si="17"/>
        <v>50.000000000000014</v>
      </c>
      <c r="M71" s="8">
        <f t="shared" ca="1" si="18"/>
        <v>135.21596505418387</v>
      </c>
      <c r="N71" s="8">
        <f t="shared" ca="1" si="11"/>
        <v>1.3521596505418387</v>
      </c>
      <c r="O71" s="8"/>
      <c r="P71" s="8"/>
      <c r="Q71" s="8"/>
      <c r="R71" s="8"/>
      <c r="S71" s="8"/>
    </row>
    <row r="72" spans="1:19" s="5" customFormat="1" ht="13.2" x14ac:dyDescent="0.3">
      <c r="A72" s="6"/>
      <c r="E72" s="5">
        <v>70</v>
      </c>
      <c r="F72" s="5">
        <f t="shared" si="12"/>
        <v>70</v>
      </c>
      <c r="G72" s="8">
        <f t="shared" ref="G72:G135" ca="1" si="19">MAX(0,IF(OFFSET(N72,-$B$13,0)&gt;=1,J72*$B$4*$B$2*(OFFSET(N72,-$B$13,0)-1),0))</f>
        <v>0</v>
      </c>
      <c r="H72" s="8">
        <f t="shared" ca="1" si="13"/>
        <v>591.64611196571605</v>
      </c>
      <c r="I72" s="8">
        <f t="shared" ca="1" si="14"/>
        <v>15.665844478628642</v>
      </c>
      <c r="J72" s="8">
        <f t="shared" si="15"/>
        <v>400</v>
      </c>
      <c r="K72" s="8">
        <f t="shared" ca="1" si="16"/>
        <v>0.67607982527091914</v>
      </c>
      <c r="L72" s="8">
        <f t="shared" ca="1" si="17"/>
        <v>50.000000000000014</v>
      </c>
      <c r="M72" s="8">
        <f t="shared" ca="1" si="18"/>
        <v>33.803991263545967</v>
      </c>
      <c r="N72" s="8">
        <f t="shared" ca="1" si="11"/>
        <v>0.33803991263545968</v>
      </c>
      <c r="O72" s="8"/>
      <c r="P72" s="8"/>
      <c r="Q72" s="8"/>
      <c r="R72" s="8"/>
      <c r="S72" s="8"/>
    </row>
    <row r="73" spans="1:19" s="5" customFormat="1" ht="13.2" x14ac:dyDescent="0.3">
      <c r="A73" s="6"/>
      <c r="E73" s="5">
        <v>71</v>
      </c>
      <c r="F73" s="5">
        <f t="shared" si="12"/>
        <v>71</v>
      </c>
      <c r="G73" s="8">
        <f t="shared" ca="1" si="19"/>
        <v>10.868487877348523</v>
      </c>
      <c r="H73" s="8">
        <f t="shared" ca="1" si="13"/>
        <v>575.98026748708742</v>
      </c>
      <c r="I73" s="8">
        <f t="shared" ca="1" si="14"/>
        <v>3.0392106994834962</v>
      </c>
      <c r="J73" s="8">
        <f t="shared" si="15"/>
        <v>1000</v>
      </c>
      <c r="K73" s="8">
        <f t="shared" ca="1" si="16"/>
        <v>1.7361705885565228</v>
      </c>
      <c r="L73" s="8">
        <f t="shared" ca="1" si="17"/>
        <v>50</v>
      </c>
      <c r="M73" s="8">
        <f t="shared" ca="1" si="18"/>
        <v>86.808529427826144</v>
      </c>
      <c r="N73" s="8">
        <f t="shared" ca="1" si="11"/>
        <v>0.86808529427826142</v>
      </c>
      <c r="O73" s="8"/>
      <c r="P73" s="8"/>
      <c r="Q73" s="8"/>
      <c r="R73" s="8"/>
      <c r="S73" s="8"/>
    </row>
    <row r="74" spans="1:19" s="5" customFormat="1" ht="13.2" x14ac:dyDescent="0.3">
      <c r="A74" s="6"/>
      <c r="E74" s="5">
        <v>72</v>
      </c>
      <c r="F74" s="5">
        <f t="shared" si="12"/>
        <v>72</v>
      </c>
      <c r="G74" s="8">
        <f t="shared" ca="1" si="19"/>
        <v>0</v>
      </c>
      <c r="H74" s="8">
        <f t="shared" ca="1" si="13"/>
        <v>583.80954466495245</v>
      </c>
      <c r="I74" s="8">
        <f t="shared" ca="1" si="14"/>
        <v>0</v>
      </c>
      <c r="J74" s="8">
        <f t="shared" si="15"/>
        <v>1600</v>
      </c>
      <c r="K74" s="8">
        <f t="shared" ca="1" si="16"/>
        <v>2.7406198042175518</v>
      </c>
      <c r="L74" s="8">
        <f t="shared" ca="1" si="17"/>
        <v>50</v>
      </c>
      <c r="M74" s="8">
        <f t="shared" ca="1" si="18"/>
        <v>137.03099021087758</v>
      </c>
      <c r="N74" s="8">
        <f t="shared" ca="1" si="11"/>
        <v>1.3703099021087757</v>
      </c>
      <c r="O74" s="8"/>
      <c r="P74" s="8"/>
      <c r="Q74" s="8"/>
      <c r="R74" s="8"/>
      <c r="S74" s="8"/>
    </row>
    <row r="75" spans="1:19" s="5" customFormat="1" ht="13.2" x14ac:dyDescent="0.3">
      <c r="A75" s="6"/>
      <c r="E75" s="5">
        <v>73</v>
      </c>
      <c r="F75" s="5">
        <f t="shared" si="12"/>
        <v>73</v>
      </c>
      <c r="G75" s="8">
        <f t="shared" ca="1" si="19"/>
        <v>0</v>
      </c>
      <c r="H75" s="8">
        <f t="shared" ca="1" si="13"/>
        <v>583.80954466495245</v>
      </c>
      <c r="I75" s="8">
        <f t="shared" ca="1" si="14"/>
        <v>3.3523817865980976</v>
      </c>
      <c r="J75" s="8">
        <f t="shared" si="15"/>
        <v>1000</v>
      </c>
      <c r="K75" s="8">
        <f t="shared" ca="1" si="16"/>
        <v>1.7128873776359699</v>
      </c>
      <c r="L75" s="8">
        <f t="shared" ca="1" si="17"/>
        <v>50</v>
      </c>
      <c r="M75" s="8">
        <f t="shared" ca="1" si="18"/>
        <v>85.644368881798499</v>
      </c>
      <c r="N75" s="8">
        <f t="shared" ca="1" si="11"/>
        <v>0.85644368881798494</v>
      </c>
      <c r="O75" s="8"/>
      <c r="P75" s="8"/>
      <c r="Q75" s="8"/>
      <c r="R75" s="8"/>
      <c r="S75" s="8"/>
    </row>
    <row r="76" spans="1:19" s="5" customFormat="1" ht="13.2" x14ac:dyDescent="0.3">
      <c r="A76" s="6"/>
      <c r="E76" s="5">
        <v>74</v>
      </c>
      <c r="F76" s="5">
        <f t="shared" si="12"/>
        <v>74</v>
      </c>
      <c r="G76" s="8">
        <f t="shared" ca="1" si="19"/>
        <v>10.564789516255162</v>
      </c>
      <c r="H76" s="8">
        <f t="shared" ca="1" si="13"/>
        <v>580.45716287835432</v>
      </c>
      <c r="I76" s="8">
        <f t="shared" ca="1" si="14"/>
        <v>3.2182865151341731</v>
      </c>
      <c r="J76" s="8">
        <f t="shared" si="15"/>
        <v>1000</v>
      </c>
      <c r="K76" s="8">
        <f t="shared" ca="1" si="16"/>
        <v>1.7227800153955009</v>
      </c>
      <c r="L76" s="8">
        <f t="shared" ca="1" si="17"/>
        <v>50</v>
      </c>
      <c r="M76" s="8">
        <f t="shared" ca="1" si="18"/>
        <v>86.139000769775038</v>
      </c>
      <c r="N76" s="8">
        <f t="shared" ca="1" si="11"/>
        <v>0.86139000769775043</v>
      </c>
      <c r="O76" s="8"/>
      <c r="P76" s="8"/>
      <c r="Q76" s="8"/>
      <c r="R76" s="8"/>
      <c r="S76" s="8"/>
    </row>
    <row r="77" spans="1:19" s="5" customFormat="1" ht="13.2" x14ac:dyDescent="0.3">
      <c r="A77" s="6"/>
      <c r="E77" s="5">
        <v>75</v>
      </c>
      <c r="F77" s="5">
        <f t="shared" si="12"/>
        <v>75</v>
      </c>
      <c r="G77" s="8">
        <f t="shared" ca="1" si="19"/>
        <v>0</v>
      </c>
      <c r="H77" s="8">
        <f t="shared" ca="1" si="13"/>
        <v>587.80366587947526</v>
      </c>
      <c r="I77" s="8">
        <f t="shared" ca="1" si="14"/>
        <v>0</v>
      </c>
      <c r="J77" s="8">
        <f t="shared" si="15"/>
        <v>1600</v>
      </c>
      <c r="K77" s="8">
        <f t="shared" ca="1" si="16"/>
        <v>2.7219973145388106</v>
      </c>
      <c r="L77" s="8">
        <f t="shared" ca="1" si="17"/>
        <v>50</v>
      </c>
      <c r="M77" s="8">
        <f t="shared" ca="1" si="18"/>
        <v>136.09986572694052</v>
      </c>
      <c r="N77" s="8">
        <f t="shared" ca="1" si="11"/>
        <v>1.3609986572694053</v>
      </c>
      <c r="O77" s="8"/>
      <c r="P77" s="8"/>
      <c r="Q77" s="8"/>
      <c r="R77" s="8"/>
      <c r="S77" s="8"/>
    </row>
    <row r="78" spans="1:19" s="5" customFormat="1" ht="13.2" x14ac:dyDescent="0.3">
      <c r="A78" s="6"/>
      <c r="E78" s="5">
        <v>76</v>
      </c>
      <c r="F78" s="5">
        <f t="shared" si="12"/>
        <v>76</v>
      </c>
      <c r="G78" s="8">
        <f t="shared" ca="1" si="19"/>
        <v>0</v>
      </c>
      <c r="H78" s="8">
        <f t="shared" ca="1" si="13"/>
        <v>587.80366587947526</v>
      </c>
      <c r="I78" s="8">
        <f t="shared" ca="1" si="14"/>
        <v>3.5121466351790107</v>
      </c>
      <c r="J78" s="8">
        <f t="shared" si="15"/>
        <v>1000</v>
      </c>
      <c r="K78" s="8">
        <f t="shared" ca="1" si="16"/>
        <v>1.7012483215867567</v>
      </c>
      <c r="L78" s="8">
        <f t="shared" ca="1" si="17"/>
        <v>50</v>
      </c>
      <c r="M78" s="8">
        <f t="shared" ca="1" si="18"/>
        <v>85.062416079337837</v>
      </c>
      <c r="N78" s="8">
        <f t="shared" ca="1" si="11"/>
        <v>0.85062416079337833</v>
      </c>
      <c r="O78" s="8"/>
      <c r="P78" s="8"/>
      <c r="Q78" s="8"/>
      <c r="R78" s="8"/>
      <c r="S78" s="8"/>
    </row>
    <row r="79" spans="1:19" s="5" customFormat="1" ht="13.2" x14ac:dyDescent="0.3">
      <c r="A79" s="6"/>
      <c r="E79" s="5">
        <v>77</v>
      </c>
      <c r="F79" s="5">
        <f t="shared" si="12"/>
        <v>77</v>
      </c>
      <c r="G79" s="8">
        <f t="shared" ca="1" si="19"/>
        <v>4.4437188253053082</v>
      </c>
      <c r="H79" s="8">
        <f t="shared" ca="1" si="13"/>
        <v>584.2915192442963</v>
      </c>
      <c r="I79" s="8">
        <f t="shared" ca="1" si="14"/>
        <v>15.371660769771852</v>
      </c>
      <c r="J79" s="8">
        <f t="shared" si="15"/>
        <v>400</v>
      </c>
      <c r="K79" s="8">
        <f t="shared" ca="1" si="16"/>
        <v>0.68458977552394917</v>
      </c>
      <c r="L79" s="8">
        <f t="shared" ca="1" si="17"/>
        <v>49.999999999999993</v>
      </c>
      <c r="M79" s="8">
        <f t="shared" ca="1" si="18"/>
        <v>34.229488776197456</v>
      </c>
      <c r="N79" s="8">
        <f t="shared" ca="1" si="11"/>
        <v>0.34229488776197459</v>
      </c>
      <c r="O79" s="8"/>
      <c r="P79" s="8"/>
      <c r="Q79" s="8"/>
      <c r="R79" s="8"/>
      <c r="S79" s="8"/>
    </row>
    <row r="80" spans="1:19" s="5" customFormat="1" ht="13.2" x14ac:dyDescent="0.3">
      <c r="A80" s="6"/>
      <c r="E80" s="5">
        <v>78</v>
      </c>
      <c r="F80" s="5">
        <f t="shared" si="12"/>
        <v>78</v>
      </c>
      <c r="G80" s="8">
        <f t="shared" ca="1" si="19"/>
        <v>0</v>
      </c>
      <c r="H80" s="8">
        <f t="shared" ca="1" si="13"/>
        <v>573.36357729982979</v>
      </c>
      <c r="I80" s="8">
        <f t="shared" ca="1" si="14"/>
        <v>0</v>
      </c>
      <c r="J80" s="8">
        <f t="shared" si="15"/>
        <v>1600</v>
      </c>
      <c r="K80" s="8">
        <f t="shared" ca="1" si="16"/>
        <v>2.7905504697995664</v>
      </c>
      <c r="L80" s="8">
        <f t="shared" ca="1" si="17"/>
        <v>50</v>
      </c>
      <c r="M80" s="8">
        <f t="shared" ca="1" si="18"/>
        <v>139.52752348997834</v>
      </c>
      <c r="N80" s="8">
        <f t="shared" ca="1" si="11"/>
        <v>1.3952752348997834</v>
      </c>
      <c r="O80" s="8"/>
      <c r="P80" s="8"/>
      <c r="Q80" s="8"/>
      <c r="R80" s="8"/>
      <c r="S80" s="8"/>
    </row>
    <row r="81" spans="1:19" s="5" customFormat="1" ht="13.2" x14ac:dyDescent="0.3">
      <c r="A81" s="6"/>
      <c r="E81" s="5">
        <v>79</v>
      </c>
      <c r="F81" s="5">
        <f t="shared" si="12"/>
        <v>79</v>
      </c>
      <c r="G81" s="8">
        <f t="shared" ca="1" si="19"/>
        <v>0</v>
      </c>
      <c r="H81" s="8">
        <f t="shared" ca="1" si="13"/>
        <v>573.36357729982979</v>
      </c>
      <c r="I81" s="8">
        <f t="shared" ca="1" si="14"/>
        <v>2.9345430919931941</v>
      </c>
      <c r="J81" s="8">
        <f t="shared" si="15"/>
        <v>1000</v>
      </c>
      <c r="K81" s="8">
        <f t="shared" ca="1" si="16"/>
        <v>1.744094043624729</v>
      </c>
      <c r="L81" s="8">
        <f t="shared" ca="1" si="17"/>
        <v>50</v>
      </c>
      <c r="M81" s="8">
        <f t="shared" ca="1" si="18"/>
        <v>87.204702181236442</v>
      </c>
      <c r="N81" s="8">
        <f t="shared" ca="1" si="11"/>
        <v>0.87204702181236438</v>
      </c>
      <c r="O81" s="8"/>
      <c r="P81" s="8"/>
      <c r="Q81" s="8"/>
      <c r="R81" s="8"/>
      <c r="S81" s="8"/>
    </row>
    <row r="82" spans="1:19" s="5" customFormat="1" ht="13.2" x14ac:dyDescent="0.3">
      <c r="A82" s="6"/>
      <c r="E82" s="5">
        <v>80</v>
      </c>
      <c r="F82" s="5">
        <f t="shared" si="12"/>
        <v>80</v>
      </c>
      <c r="G82" s="8">
        <f t="shared" ca="1" si="19"/>
        <v>10.829959718082158</v>
      </c>
      <c r="H82" s="8">
        <f t="shared" ca="1" si="13"/>
        <v>570.42903420783659</v>
      </c>
      <c r="I82" s="8">
        <f t="shared" ca="1" si="14"/>
        <v>2.8171613683134642</v>
      </c>
      <c r="J82" s="8">
        <f t="shared" si="15"/>
        <v>1000</v>
      </c>
      <c r="K82" s="8">
        <f t="shared" ca="1" si="16"/>
        <v>1.7530664465365355</v>
      </c>
      <c r="L82" s="8">
        <f t="shared" ca="1" si="17"/>
        <v>50</v>
      </c>
      <c r="M82" s="8">
        <f t="shared" ca="1" si="18"/>
        <v>87.653322326826782</v>
      </c>
      <c r="N82" s="8">
        <f t="shared" ca="1" si="11"/>
        <v>0.87653322326826777</v>
      </c>
      <c r="O82" s="8"/>
      <c r="P82" s="8"/>
      <c r="Q82" s="8"/>
      <c r="R82" s="8"/>
      <c r="S82" s="8"/>
    </row>
    <row r="83" spans="1:19" s="5" customFormat="1" ht="13.2" x14ac:dyDescent="0.3">
      <c r="A83" s="6"/>
      <c r="E83" s="5">
        <v>81</v>
      </c>
      <c r="F83" s="5">
        <f t="shared" si="12"/>
        <v>81</v>
      </c>
      <c r="G83" s="8">
        <f t="shared" ca="1" si="19"/>
        <v>0</v>
      </c>
      <c r="H83" s="8">
        <f t="shared" ca="1" si="13"/>
        <v>578.44183255760527</v>
      </c>
      <c r="I83" s="8">
        <f t="shared" ca="1" si="14"/>
        <v>0</v>
      </c>
      <c r="J83" s="8">
        <f t="shared" si="15"/>
        <v>1600</v>
      </c>
      <c r="K83" s="8">
        <f t="shared" ca="1" si="16"/>
        <v>2.7660516752834621</v>
      </c>
      <c r="L83" s="8">
        <f t="shared" ca="1" si="17"/>
        <v>50</v>
      </c>
      <c r="M83" s="8">
        <f t="shared" ca="1" si="18"/>
        <v>138.30258376417311</v>
      </c>
      <c r="N83" s="8">
        <f t="shared" ca="1" si="11"/>
        <v>1.383025837641731</v>
      </c>
      <c r="O83" s="8"/>
      <c r="P83" s="8"/>
      <c r="Q83" s="8"/>
      <c r="R83" s="8"/>
      <c r="S83" s="8"/>
    </row>
    <row r="84" spans="1:19" s="5" customFormat="1" ht="13.2" x14ac:dyDescent="0.3">
      <c r="A84" s="6"/>
      <c r="E84" s="5">
        <v>82</v>
      </c>
      <c r="F84" s="5">
        <f t="shared" si="12"/>
        <v>82</v>
      </c>
      <c r="G84" s="8">
        <f t="shared" ca="1" si="19"/>
        <v>0</v>
      </c>
      <c r="H84" s="8">
        <f t="shared" ca="1" si="13"/>
        <v>578.44183255760527</v>
      </c>
      <c r="I84" s="8">
        <f t="shared" ca="1" si="14"/>
        <v>3.1376733023042069</v>
      </c>
      <c r="J84" s="8">
        <f t="shared" si="15"/>
        <v>1000</v>
      </c>
      <c r="K84" s="8">
        <f t="shared" ca="1" si="16"/>
        <v>1.7287822970521638</v>
      </c>
      <c r="L84" s="8">
        <f t="shared" ca="1" si="17"/>
        <v>50.000000000000014</v>
      </c>
      <c r="M84" s="8">
        <f t="shared" ca="1" si="18"/>
        <v>86.439114852608213</v>
      </c>
      <c r="N84" s="8">
        <f t="shared" ca="1" si="11"/>
        <v>0.86439114852608212</v>
      </c>
      <c r="O84" s="8"/>
      <c r="P84" s="8"/>
      <c r="Q84" s="8"/>
      <c r="R84" s="8"/>
      <c r="S84" s="8"/>
    </row>
    <row r="85" spans="1:19" s="5" customFormat="1" ht="13.2" x14ac:dyDescent="0.3">
      <c r="A85" s="6"/>
      <c r="E85" s="5">
        <v>83</v>
      </c>
      <c r="F85" s="5">
        <f t="shared" si="12"/>
        <v>83</v>
      </c>
      <c r="G85" s="8">
        <f t="shared" ca="1" si="19"/>
        <v>11.858257046993504</v>
      </c>
      <c r="H85" s="8">
        <f t="shared" ca="1" si="13"/>
        <v>575.3041592553011</v>
      </c>
      <c r="I85" s="8">
        <f t="shared" ca="1" si="14"/>
        <v>3.0121663702120434</v>
      </c>
      <c r="J85" s="8">
        <f t="shared" si="15"/>
        <v>1000</v>
      </c>
      <c r="K85" s="8">
        <f t="shared" ca="1" si="16"/>
        <v>1.7382109687759668</v>
      </c>
      <c r="L85" s="8">
        <f t="shared" ca="1" si="17"/>
        <v>50</v>
      </c>
      <c r="M85" s="8">
        <f t="shared" ca="1" si="18"/>
        <v>86.910548438798344</v>
      </c>
      <c r="N85" s="8">
        <f t="shared" ca="1" si="11"/>
        <v>0.86910548438798341</v>
      </c>
      <c r="O85" s="8"/>
      <c r="P85" s="8"/>
      <c r="Q85" s="8"/>
      <c r="R85" s="8"/>
      <c r="S85" s="8"/>
    </row>
    <row r="86" spans="1:19" s="5" customFormat="1" ht="13.2" x14ac:dyDescent="0.3">
      <c r="A86" s="6"/>
      <c r="E86" s="5">
        <v>84</v>
      </c>
      <c r="F86" s="5">
        <f t="shared" si="12"/>
        <v>84</v>
      </c>
      <c r="G86" s="8">
        <f t="shared" ca="1" si="19"/>
        <v>0</v>
      </c>
      <c r="H86" s="8">
        <f t="shared" ca="1" si="13"/>
        <v>584.1502499320826</v>
      </c>
      <c r="I86" s="8">
        <f t="shared" ca="1" si="14"/>
        <v>0</v>
      </c>
      <c r="J86" s="8">
        <f t="shared" si="15"/>
        <v>1600</v>
      </c>
      <c r="K86" s="8">
        <f t="shared" ca="1" si="16"/>
        <v>2.73902133943455</v>
      </c>
      <c r="L86" s="8">
        <f t="shared" ca="1" si="17"/>
        <v>50</v>
      </c>
      <c r="M86" s="8">
        <f t="shared" ca="1" si="18"/>
        <v>136.9510669717275</v>
      </c>
      <c r="N86" s="8">
        <f t="shared" ca="1" si="11"/>
        <v>1.369510669717275</v>
      </c>
      <c r="O86" s="8"/>
      <c r="P86" s="8"/>
      <c r="Q86" s="8"/>
      <c r="R86" s="8"/>
      <c r="S86" s="8"/>
    </row>
    <row r="87" spans="1:19" s="5" customFormat="1" ht="13.2" x14ac:dyDescent="0.3">
      <c r="A87" s="6"/>
      <c r="E87" s="5">
        <v>85</v>
      </c>
      <c r="F87" s="5">
        <f t="shared" si="12"/>
        <v>85</v>
      </c>
      <c r="G87" s="8">
        <f t="shared" ca="1" si="19"/>
        <v>0</v>
      </c>
      <c r="H87" s="8">
        <f t="shared" ca="1" si="13"/>
        <v>584.1502499320826</v>
      </c>
      <c r="I87" s="8">
        <f t="shared" ca="1" si="14"/>
        <v>3.3660099972833</v>
      </c>
      <c r="J87" s="8">
        <f t="shared" si="15"/>
        <v>1000</v>
      </c>
      <c r="K87" s="8">
        <f t="shared" ca="1" si="16"/>
        <v>1.7118883371465936</v>
      </c>
      <c r="L87" s="8">
        <f t="shared" ca="1" si="17"/>
        <v>50.000000000000014</v>
      </c>
      <c r="M87" s="8">
        <f t="shared" ca="1" si="18"/>
        <v>85.594416857329705</v>
      </c>
      <c r="N87" s="8">
        <f t="shared" ca="1" si="11"/>
        <v>0.85594416857329703</v>
      </c>
      <c r="O87" s="8"/>
      <c r="P87" s="8"/>
      <c r="Q87" s="8"/>
      <c r="R87" s="8"/>
      <c r="S87" s="8"/>
    </row>
    <row r="88" spans="1:19" s="5" customFormat="1" ht="13.2" x14ac:dyDescent="0.3">
      <c r="A88" s="6"/>
      <c r="E88" s="5">
        <v>86</v>
      </c>
      <c r="F88" s="5">
        <f t="shared" si="12"/>
        <v>86</v>
      </c>
      <c r="G88" s="8">
        <f t="shared" ca="1" si="19"/>
        <v>11.490775129251931</v>
      </c>
      <c r="H88" s="8">
        <f t="shared" ca="1" si="13"/>
        <v>580.7842399347993</v>
      </c>
      <c r="I88" s="8">
        <f t="shared" ca="1" si="14"/>
        <v>3.2313695973919696</v>
      </c>
      <c r="J88" s="8">
        <f t="shared" si="15"/>
        <v>1000</v>
      </c>
      <c r="K88" s="8">
        <f t="shared" ca="1" si="16"/>
        <v>1.7218098068781329</v>
      </c>
      <c r="L88" s="8">
        <f t="shared" ca="1" si="17"/>
        <v>50</v>
      </c>
      <c r="M88" s="8">
        <f t="shared" ca="1" si="18"/>
        <v>86.090490343906652</v>
      </c>
      <c r="N88" s="8">
        <f t="shared" ca="1" si="11"/>
        <v>0.86090490343906656</v>
      </c>
      <c r="O88" s="8"/>
      <c r="P88" s="8"/>
      <c r="Q88" s="8"/>
      <c r="R88" s="8"/>
      <c r="S88" s="8"/>
    </row>
    <row r="89" spans="1:19" s="5" customFormat="1" ht="13.2" x14ac:dyDescent="0.3">
      <c r="A89" s="6"/>
      <c r="E89" s="5">
        <v>87</v>
      </c>
      <c r="F89" s="5">
        <f t="shared" si="12"/>
        <v>87</v>
      </c>
      <c r="G89" s="8">
        <f t="shared" ca="1" si="19"/>
        <v>0</v>
      </c>
      <c r="H89" s="8">
        <f t="shared" ca="1" si="13"/>
        <v>589.04364546665931</v>
      </c>
      <c r="I89" s="8">
        <f t="shared" ca="1" si="14"/>
        <v>0</v>
      </c>
      <c r="J89" s="8">
        <f t="shared" si="15"/>
        <v>1600</v>
      </c>
      <c r="K89" s="8">
        <f t="shared" ca="1" si="16"/>
        <v>2.7162673128107997</v>
      </c>
      <c r="L89" s="8">
        <f t="shared" ca="1" si="17"/>
        <v>50</v>
      </c>
      <c r="M89" s="8">
        <f t="shared" ca="1" si="18"/>
        <v>135.81336564053998</v>
      </c>
      <c r="N89" s="8">
        <f t="shared" ca="1" si="11"/>
        <v>1.3581336564053998</v>
      </c>
      <c r="O89" s="8"/>
      <c r="P89" s="8"/>
      <c r="Q89" s="8"/>
      <c r="R89" s="8"/>
      <c r="S89" s="8"/>
    </row>
    <row r="90" spans="1:19" s="5" customFormat="1" ht="13.2" x14ac:dyDescent="0.3">
      <c r="A90" s="6"/>
      <c r="E90" s="5">
        <v>88</v>
      </c>
      <c r="F90" s="5">
        <f t="shared" si="12"/>
        <v>88</v>
      </c>
      <c r="G90" s="8">
        <f t="shared" ca="1" si="19"/>
        <v>0</v>
      </c>
      <c r="H90" s="8">
        <f t="shared" ca="1" si="13"/>
        <v>589.04364546665931</v>
      </c>
      <c r="I90" s="8">
        <f t="shared" ca="1" si="14"/>
        <v>3.5617458186663691</v>
      </c>
      <c r="J90" s="8">
        <f t="shared" si="15"/>
        <v>1000</v>
      </c>
      <c r="K90" s="8">
        <f t="shared" ca="1" si="16"/>
        <v>1.6976670705067498</v>
      </c>
      <c r="L90" s="8">
        <f t="shared" ca="1" si="17"/>
        <v>50</v>
      </c>
      <c r="M90" s="8">
        <f t="shared" ca="1" si="18"/>
        <v>84.883353525337498</v>
      </c>
      <c r="N90" s="8">
        <f t="shared" ca="1" si="11"/>
        <v>0.84883353525337502</v>
      </c>
      <c r="O90" s="8"/>
      <c r="P90" s="8"/>
      <c r="Q90" s="8"/>
      <c r="R90" s="8"/>
      <c r="S90" s="8"/>
    </row>
    <row r="91" spans="1:19" s="5" customFormat="1" ht="13.2" x14ac:dyDescent="0.3">
      <c r="A91" s="6"/>
      <c r="E91" s="5">
        <v>89</v>
      </c>
      <c r="F91" s="5">
        <f t="shared" si="12"/>
        <v>89</v>
      </c>
      <c r="G91" s="8">
        <f t="shared" ca="1" si="19"/>
        <v>11.085320091518248</v>
      </c>
      <c r="H91" s="8">
        <f t="shared" ca="1" si="13"/>
        <v>585.48189964799292</v>
      </c>
      <c r="I91" s="8">
        <f t="shared" ca="1" si="14"/>
        <v>3.4192759859197177</v>
      </c>
      <c r="J91" s="8">
        <f t="shared" si="15"/>
        <v>1000</v>
      </c>
      <c r="K91" s="8">
        <f t="shared" ca="1" si="16"/>
        <v>1.7079947315215487</v>
      </c>
      <c r="L91" s="8">
        <f t="shared" ca="1" si="17"/>
        <v>50</v>
      </c>
      <c r="M91" s="8">
        <f t="shared" ca="1" si="18"/>
        <v>85.39973657607743</v>
      </c>
      <c r="N91" s="8">
        <f t="shared" ca="1" si="11"/>
        <v>0.85399736576077434</v>
      </c>
      <c r="O91" s="8"/>
      <c r="P91" s="8"/>
      <c r="Q91" s="8"/>
      <c r="R91" s="8"/>
      <c r="S91" s="8"/>
    </row>
    <row r="92" spans="1:19" s="5" customFormat="1" ht="13.2" x14ac:dyDescent="0.3">
      <c r="A92" s="6"/>
      <c r="E92" s="5">
        <v>90</v>
      </c>
      <c r="F92" s="5">
        <f t="shared" si="12"/>
        <v>90</v>
      </c>
      <c r="G92" s="8">
        <f t="shared" ca="1" si="19"/>
        <v>0</v>
      </c>
      <c r="H92" s="8">
        <f t="shared" ca="1" si="13"/>
        <v>593.14794375359145</v>
      </c>
      <c r="I92" s="8">
        <f t="shared" ca="1" si="14"/>
        <v>0</v>
      </c>
      <c r="J92" s="8">
        <f t="shared" si="15"/>
        <v>1600</v>
      </c>
      <c r="K92" s="8">
        <f t="shared" ca="1" si="16"/>
        <v>2.6974720503535625</v>
      </c>
      <c r="L92" s="8">
        <f t="shared" ca="1" si="17"/>
        <v>50</v>
      </c>
      <c r="M92" s="8">
        <f t="shared" ca="1" si="18"/>
        <v>134.87360251767814</v>
      </c>
      <c r="N92" s="8">
        <f t="shared" ca="1" si="11"/>
        <v>1.3487360251767813</v>
      </c>
      <c r="O92" s="8"/>
      <c r="P92" s="8"/>
      <c r="Q92" s="8"/>
      <c r="R92" s="8"/>
      <c r="S92" s="8"/>
    </row>
    <row r="93" spans="1:19" s="5" customFormat="1" ht="13.2" x14ac:dyDescent="0.3">
      <c r="A93" s="6"/>
      <c r="E93" s="5">
        <v>91</v>
      </c>
      <c r="F93" s="5">
        <f t="shared" si="12"/>
        <v>91</v>
      </c>
      <c r="G93" s="8">
        <f t="shared" ca="1" si="19"/>
        <v>0</v>
      </c>
      <c r="H93" s="8">
        <f t="shared" ca="1" si="13"/>
        <v>593.14794375359145</v>
      </c>
      <c r="I93" s="8">
        <f t="shared" ca="1" si="14"/>
        <v>15.725917750143658</v>
      </c>
      <c r="J93" s="8">
        <f t="shared" si="15"/>
        <v>400</v>
      </c>
      <c r="K93" s="8">
        <f t="shared" ca="1" si="16"/>
        <v>0.67436801258839063</v>
      </c>
      <c r="L93" s="8">
        <f t="shared" ca="1" si="17"/>
        <v>50</v>
      </c>
      <c r="M93" s="8">
        <f t="shared" ca="1" si="18"/>
        <v>33.718400629419534</v>
      </c>
      <c r="N93" s="8">
        <f t="shared" ca="1" si="11"/>
        <v>0.33718400629419532</v>
      </c>
      <c r="O93" s="8"/>
      <c r="P93" s="8"/>
      <c r="Q93" s="8"/>
      <c r="R93" s="8"/>
      <c r="S93" s="8"/>
    </row>
    <row r="94" spans="1:19" s="5" customFormat="1" ht="13.2" x14ac:dyDescent="0.3">
      <c r="A94" s="6"/>
      <c r="E94" s="5">
        <v>92</v>
      </c>
      <c r="F94" s="5">
        <f t="shared" si="12"/>
        <v>92</v>
      </c>
      <c r="G94" s="8">
        <f t="shared" ca="1" si="19"/>
        <v>10.744009692161995</v>
      </c>
      <c r="H94" s="8">
        <f t="shared" ca="1" si="13"/>
        <v>577.42202600344774</v>
      </c>
      <c r="I94" s="8">
        <f t="shared" ca="1" si="14"/>
        <v>3.0968810401379097</v>
      </c>
      <c r="J94" s="8">
        <f t="shared" si="15"/>
        <v>1000</v>
      </c>
      <c r="K94" s="8">
        <f t="shared" ca="1" si="16"/>
        <v>1.7318355638792848</v>
      </c>
      <c r="L94" s="8">
        <f t="shared" ca="1" si="17"/>
        <v>50</v>
      </c>
      <c r="M94" s="8">
        <f t="shared" ca="1" si="18"/>
        <v>86.591778193964245</v>
      </c>
      <c r="N94" s="8">
        <f t="shared" ca="1" si="11"/>
        <v>0.86591778193964242</v>
      </c>
      <c r="O94" s="8"/>
      <c r="P94" s="8"/>
      <c r="Q94" s="8"/>
      <c r="R94" s="8"/>
      <c r="S94" s="8"/>
    </row>
    <row r="95" spans="1:19" s="5" customFormat="1" ht="13.2" x14ac:dyDescent="0.3">
      <c r="A95" s="6"/>
      <c r="E95" s="5">
        <v>93</v>
      </c>
      <c r="F95" s="5">
        <f t="shared" si="12"/>
        <v>93</v>
      </c>
      <c r="G95" s="8">
        <f t="shared" ca="1" si="19"/>
        <v>0</v>
      </c>
      <c r="H95" s="8">
        <f t="shared" ca="1" si="13"/>
        <v>585.06915465547183</v>
      </c>
      <c r="I95" s="8">
        <f t="shared" ca="1" si="14"/>
        <v>0</v>
      </c>
      <c r="J95" s="8">
        <f t="shared" si="15"/>
        <v>1600</v>
      </c>
      <c r="K95" s="8">
        <f t="shared" ca="1" si="16"/>
        <v>2.7347194554158096</v>
      </c>
      <c r="L95" s="8">
        <f t="shared" ca="1" si="17"/>
        <v>50</v>
      </c>
      <c r="M95" s="8">
        <f t="shared" ca="1" si="18"/>
        <v>136.73597277079048</v>
      </c>
      <c r="N95" s="8">
        <f t="shared" ca="1" si="11"/>
        <v>1.3673597277079048</v>
      </c>
      <c r="O95" s="8"/>
      <c r="P95" s="8"/>
      <c r="Q95" s="8"/>
      <c r="R95" s="8"/>
      <c r="S95" s="8"/>
    </row>
    <row r="96" spans="1:19" s="5" customFormat="1" ht="13.2" x14ac:dyDescent="0.3">
      <c r="A96" s="6"/>
      <c r="E96" s="5">
        <v>94</v>
      </c>
      <c r="F96" s="5">
        <f t="shared" si="12"/>
        <v>94</v>
      </c>
      <c r="G96" s="8">
        <f t="shared" ca="1" si="19"/>
        <v>0</v>
      </c>
      <c r="H96" s="8">
        <f t="shared" ca="1" si="13"/>
        <v>585.06915465547183</v>
      </c>
      <c r="I96" s="8">
        <f t="shared" ca="1" si="14"/>
        <v>3.4027661862188747</v>
      </c>
      <c r="J96" s="8">
        <f t="shared" si="15"/>
        <v>1000</v>
      </c>
      <c r="K96" s="8">
        <f t="shared" ca="1" si="16"/>
        <v>1.7091996596348811</v>
      </c>
      <c r="L96" s="8">
        <f t="shared" ca="1" si="17"/>
        <v>50</v>
      </c>
      <c r="M96" s="8">
        <f t="shared" ca="1" si="18"/>
        <v>85.459982981744048</v>
      </c>
      <c r="N96" s="8">
        <f t="shared" ca="1" si="11"/>
        <v>0.85459982981744043</v>
      </c>
      <c r="O96" s="8"/>
      <c r="P96" s="8"/>
      <c r="Q96" s="8"/>
      <c r="R96" s="8"/>
      <c r="S96" s="8"/>
    </row>
    <row r="97" spans="1:19" s="5" customFormat="1" ht="13.2" x14ac:dyDescent="0.3">
      <c r="A97" s="6"/>
      <c r="E97" s="5">
        <v>95</v>
      </c>
      <c r="F97" s="5">
        <f t="shared" si="12"/>
        <v>95</v>
      </c>
      <c r="G97" s="8">
        <f t="shared" ca="1" si="19"/>
        <v>10.462080755303438</v>
      </c>
      <c r="H97" s="8">
        <f t="shared" ca="1" si="13"/>
        <v>581.66638846925298</v>
      </c>
      <c r="I97" s="8">
        <f t="shared" ca="1" si="14"/>
        <v>3.2666555387701202</v>
      </c>
      <c r="J97" s="8">
        <f t="shared" si="15"/>
        <v>1000</v>
      </c>
      <c r="K97" s="8">
        <f t="shared" ca="1" si="16"/>
        <v>1.7191985299883976</v>
      </c>
      <c r="L97" s="8">
        <f t="shared" ca="1" si="17"/>
        <v>50</v>
      </c>
      <c r="M97" s="8">
        <f t="shared" ca="1" si="18"/>
        <v>85.959926499419879</v>
      </c>
      <c r="N97" s="8">
        <f t="shared" ca="1" si="11"/>
        <v>0.85959926499419881</v>
      </c>
      <c r="O97" s="8"/>
      <c r="P97" s="8"/>
      <c r="Q97" s="8"/>
      <c r="R97" s="8"/>
      <c r="S97" s="8"/>
    </row>
    <row r="98" spans="1:19" s="5" customFormat="1" ht="13.2" x14ac:dyDescent="0.3">
      <c r="A98" s="6"/>
      <c r="E98" s="5">
        <v>96</v>
      </c>
      <c r="F98" s="5">
        <f t="shared" si="12"/>
        <v>96</v>
      </c>
      <c r="G98" s="8">
        <f t="shared" ca="1" si="19"/>
        <v>0</v>
      </c>
      <c r="H98" s="8">
        <f t="shared" ca="1" si="13"/>
        <v>588.86181368578627</v>
      </c>
      <c r="I98" s="8">
        <f t="shared" ca="1" si="14"/>
        <v>0</v>
      </c>
      <c r="J98" s="8">
        <f t="shared" si="15"/>
        <v>1600</v>
      </c>
      <c r="K98" s="8">
        <f t="shared" ca="1" si="16"/>
        <v>2.717106055808455</v>
      </c>
      <c r="L98" s="8">
        <f t="shared" ca="1" si="17"/>
        <v>50</v>
      </c>
      <c r="M98" s="8">
        <f t="shared" ca="1" si="18"/>
        <v>135.85530279042274</v>
      </c>
      <c r="N98" s="8">
        <f t="shared" ca="1" si="11"/>
        <v>1.3585530279042275</v>
      </c>
      <c r="O98" s="8"/>
      <c r="P98" s="8"/>
      <c r="Q98" s="8"/>
      <c r="R98" s="8"/>
      <c r="S98" s="8"/>
    </row>
    <row r="99" spans="1:19" s="5" customFormat="1" ht="13.2" x14ac:dyDescent="0.3">
      <c r="A99" s="6"/>
      <c r="E99" s="5">
        <v>97</v>
      </c>
      <c r="F99" s="5">
        <f t="shared" si="12"/>
        <v>97</v>
      </c>
      <c r="G99" s="8">
        <f t="shared" ca="1" si="19"/>
        <v>0</v>
      </c>
      <c r="H99" s="8">
        <f t="shared" ref="H99:H130" ca="1" si="20">H98+(G98-I98)</f>
        <v>588.86181368578627</v>
      </c>
      <c r="I99" s="8">
        <f t="shared" ca="1" si="14"/>
        <v>3.5544725474314549</v>
      </c>
      <c r="J99" s="8">
        <f t="shared" ref="J99:J130" si="21">IF(MOD(F99,3)=0,$B$6+$B$6*$B$12,IF(MOD(F99,7)=0,$B$6-$B$6*$B$12,$B$6))</f>
        <v>1000</v>
      </c>
      <c r="K99" s="8">
        <f t="shared" ca="1" si="16"/>
        <v>1.6981912848802843</v>
      </c>
      <c r="L99" s="8">
        <f t="shared" ca="1" si="17"/>
        <v>50</v>
      </c>
      <c r="M99" s="8">
        <f t="shared" ca="1" si="18"/>
        <v>84.909564244014206</v>
      </c>
      <c r="N99" s="8">
        <f t="shared" ca="1" si="11"/>
        <v>0.84909564244014202</v>
      </c>
      <c r="O99" s="8"/>
      <c r="P99" s="8"/>
      <c r="Q99" s="8"/>
      <c r="R99" s="8"/>
      <c r="S99" s="8"/>
    </row>
    <row r="100" spans="1:19" s="5" customFormat="1" ht="13.2" x14ac:dyDescent="0.3">
      <c r="A100" s="6"/>
      <c r="E100" s="5">
        <v>98</v>
      </c>
      <c r="F100" s="5">
        <f t="shared" si="12"/>
        <v>98</v>
      </c>
      <c r="G100" s="8">
        <f t="shared" ca="1" si="19"/>
        <v>4.4083167324948578</v>
      </c>
      <c r="H100" s="8">
        <f t="shared" ca="1" si="20"/>
        <v>585.30734113835479</v>
      </c>
      <c r="I100" s="8">
        <f t="shared" ca="1" si="14"/>
        <v>15.41229364553419</v>
      </c>
      <c r="J100" s="8">
        <f t="shared" si="21"/>
        <v>400</v>
      </c>
      <c r="K100" s="8">
        <f t="shared" ca="1" si="16"/>
        <v>0.68340164540230519</v>
      </c>
      <c r="L100" s="8">
        <f t="shared" ca="1" si="17"/>
        <v>50</v>
      </c>
      <c r="M100" s="8">
        <f t="shared" ca="1" si="18"/>
        <v>34.170082270115259</v>
      </c>
      <c r="N100" s="8">
        <f t="shared" ca="1" si="11"/>
        <v>0.3417008227011526</v>
      </c>
      <c r="O100" s="8"/>
      <c r="P100" s="8"/>
      <c r="Q100" s="8"/>
      <c r="R100" s="8"/>
      <c r="S100" s="8"/>
    </row>
    <row r="101" spans="1:19" s="5" customFormat="1" ht="13.2" x14ac:dyDescent="0.3">
      <c r="A101" s="6"/>
      <c r="E101" s="5">
        <v>99</v>
      </c>
      <c r="F101" s="5">
        <f t="shared" si="12"/>
        <v>99</v>
      </c>
      <c r="G101" s="8">
        <f t="shared" ca="1" si="19"/>
        <v>0</v>
      </c>
      <c r="H101" s="8">
        <f t="shared" ca="1" si="20"/>
        <v>574.30336422531548</v>
      </c>
      <c r="I101" s="8">
        <f t="shared" ca="1" si="14"/>
        <v>0</v>
      </c>
      <c r="J101" s="8">
        <f t="shared" si="21"/>
        <v>1600</v>
      </c>
      <c r="K101" s="8">
        <f t="shared" ca="1" si="16"/>
        <v>2.7859840280724435</v>
      </c>
      <c r="L101" s="8">
        <f t="shared" ca="1" si="17"/>
        <v>50</v>
      </c>
      <c r="M101" s="8">
        <f t="shared" ca="1" si="18"/>
        <v>139.29920140362216</v>
      </c>
      <c r="N101" s="8">
        <f t="shared" ca="1" si="11"/>
        <v>1.3929920140362215</v>
      </c>
      <c r="O101" s="8"/>
      <c r="P101" s="8"/>
      <c r="Q101" s="8"/>
      <c r="R101" s="8"/>
      <c r="S101" s="8"/>
    </row>
    <row r="102" spans="1:19" s="5" customFormat="1" ht="13.2" x14ac:dyDescent="0.3">
      <c r="A102" s="6"/>
      <c r="E102" s="5">
        <v>100</v>
      </c>
      <c r="F102" s="5">
        <f t="shared" si="12"/>
        <v>100</v>
      </c>
      <c r="G102" s="8">
        <f t="shared" ca="1" si="19"/>
        <v>0</v>
      </c>
      <c r="H102" s="8">
        <f t="shared" ca="1" si="20"/>
        <v>574.30336422531548</v>
      </c>
      <c r="I102" s="8">
        <f t="shared" ca="1" si="14"/>
        <v>2.9721345690126193</v>
      </c>
      <c r="J102" s="8">
        <f t="shared" si="21"/>
        <v>1000</v>
      </c>
      <c r="K102" s="8">
        <f t="shared" ca="1" si="16"/>
        <v>1.7412400175452771</v>
      </c>
      <c r="L102" s="8">
        <f t="shared" ca="1" si="17"/>
        <v>50</v>
      </c>
      <c r="M102" s="8">
        <f t="shared" ca="1" si="18"/>
        <v>87.062000877263856</v>
      </c>
      <c r="N102" s="8">
        <f t="shared" ca="1" si="11"/>
        <v>0.87062000877263857</v>
      </c>
    </row>
    <row r="103" spans="1:19" s="5" customFormat="1" ht="13.2" x14ac:dyDescent="0.3">
      <c r="A103" s="6"/>
      <c r="E103" s="5">
        <v>101</v>
      </c>
      <c r="F103" s="5">
        <f t="shared" si="12"/>
        <v>101</v>
      </c>
      <c r="G103" s="8">
        <f t="shared" ca="1" si="19"/>
        <v>10.756590837126826</v>
      </c>
      <c r="H103" s="8">
        <f t="shared" ca="1" si="20"/>
        <v>571.33122965630287</v>
      </c>
      <c r="I103" s="8">
        <f t="shared" ca="1" si="14"/>
        <v>2.8532491862521154</v>
      </c>
      <c r="J103" s="8">
        <f t="shared" si="21"/>
        <v>1000</v>
      </c>
      <c r="K103" s="8">
        <f t="shared" ca="1" si="16"/>
        <v>1.750298159968557</v>
      </c>
      <c r="L103" s="8">
        <f t="shared" ca="1" si="17"/>
        <v>50</v>
      </c>
      <c r="M103" s="8">
        <f t="shared" ca="1" si="18"/>
        <v>87.514907998427844</v>
      </c>
      <c r="N103" s="8">
        <f t="shared" ca="1" si="11"/>
        <v>0.87514907998427849</v>
      </c>
    </row>
    <row r="104" spans="1:19" s="5" customFormat="1" ht="13.2" x14ac:dyDescent="0.3">
      <c r="A104" s="6"/>
      <c r="E104" s="5">
        <v>102</v>
      </c>
      <c r="F104" s="5">
        <f t="shared" si="12"/>
        <v>102</v>
      </c>
      <c r="G104" s="8">
        <f t="shared" ca="1" si="19"/>
        <v>0</v>
      </c>
      <c r="H104" s="8">
        <f t="shared" ca="1" si="20"/>
        <v>579.23457130717759</v>
      </c>
      <c r="I104" s="8">
        <f t="shared" ca="1" si="14"/>
        <v>0</v>
      </c>
      <c r="J104" s="8">
        <f t="shared" si="21"/>
        <v>1600</v>
      </c>
      <c r="K104" s="8">
        <f t="shared" ca="1" si="16"/>
        <v>2.762266065005802</v>
      </c>
      <c r="L104" s="8">
        <f t="shared" ca="1" si="17"/>
        <v>50</v>
      </c>
      <c r="M104" s="8">
        <f t="shared" ca="1" si="18"/>
        <v>138.1133032502901</v>
      </c>
      <c r="N104" s="8">
        <f t="shared" ca="1" si="11"/>
        <v>1.381133032502901</v>
      </c>
    </row>
    <row r="105" spans="1:19" s="5" customFormat="1" ht="13.2" x14ac:dyDescent="0.3">
      <c r="A105" s="6"/>
      <c r="E105" s="5">
        <v>103</v>
      </c>
      <c r="F105" s="5">
        <f t="shared" si="12"/>
        <v>103</v>
      </c>
      <c r="G105" s="8">
        <f t="shared" ca="1" si="19"/>
        <v>0</v>
      </c>
      <c r="H105" s="8">
        <f t="shared" ca="1" si="20"/>
        <v>579.23457130717759</v>
      </c>
      <c r="I105" s="8">
        <f t="shared" ca="1" si="14"/>
        <v>3.1693828522871033</v>
      </c>
      <c r="J105" s="8">
        <f t="shared" si="21"/>
        <v>1000</v>
      </c>
      <c r="K105" s="8">
        <f t="shared" ca="1" si="16"/>
        <v>1.7264162906286262</v>
      </c>
      <c r="L105" s="8">
        <f t="shared" ca="1" si="17"/>
        <v>50</v>
      </c>
      <c r="M105" s="8">
        <f t="shared" ca="1" si="18"/>
        <v>86.32081453143131</v>
      </c>
      <c r="N105" s="8">
        <f t="shared" ca="1" si="11"/>
        <v>0.86320814531431311</v>
      </c>
    </row>
    <row r="106" spans="1:19" s="5" customFormat="1" ht="13.2" x14ac:dyDescent="0.3">
      <c r="A106" s="6"/>
      <c r="E106" s="5">
        <v>104</v>
      </c>
      <c r="F106" s="5">
        <f t="shared" si="12"/>
        <v>104</v>
      </c>
      <c r="G106" s="8">
        <f t="shared" ca="1" si="19"/>
        <v>11.789760421086646</v>
      </c>
      <c r="H106" s="8">
        <f t="shared" ca="1" si="20"/>
        <v>576.06518845489052</v>
      </c>
      <c r="I106" s="8">
        <f t="shared" ca="1" si="14"/>
        <v>3.0426075381956217</v>
      </c>
      <c r="J106" s="8">
        <f t="shared" si="21"/>
        <v>1000</v>
      </c>
      <c r="K106" s="8">
        <f t="shared" ca="1" si="16"/>
        <v>1.7359146500106666</v>
      </c>
      <c r="L106" s="8">
        <f t="shared" ca="1" si="17"/>
        <v>50</v>
      </c>
      <c r="M106" s="8">
        <f t="shared" ca="1" si="18"/>
        <v>86.795732500533333</v>
      </c>
      <c r="N106" s="8">
        <f t="shared" ca="1" si="11"/>
        <v>0.86795732500533329</v>
      </c>
    </row>
    <row r="107" spans="1:19" s="5" customFormat="1" ht="13.2" x14ac:dyDescent="0.3">
      <c r="A107" s="6"/>
      <c r="E107" s="5">
        <v>105</v>
      </c>
      <c r="F107" s="5">
        <f t="shared" si="12"/>
        <v>105</v>
      </c>
      <c r="G107" s="8">
        <f t="shared" ca="1" si="19"/>
        <v>0</v>
      </c>
      <c r="H107" s="8">
        <f t="shared" ca="1" si="20"/>
        <v>584.8123413377815</v>
      </c>
      <c r="I107" s="8">
        <f t="shared" ca="1" si="14"/>
        <v>0</v>
      </c>
      <c r="J107" s="8">
        <f t="shared" si="21"/>
        <v>1600</v>
      </c>
      <c r="K107" s="8">
        <f t="shared" ca="1" si="16"/>
        <v>2.7359203746281011</v>
      </c>
      <c r="L107" s="8">
        <f t="shared" ca="1" si="17"/>
        <v>49.999999999999993</v>
      </c>
      <c r="M107" s="8">
        <f t="shared" ca="1" si="18"/>
        <v>136.79601873140504</v>
      </c>
      <c r="N107" s="8">
        <f t="shared" ca="1" si="11"/>
        <v>1.3679601873140503</v>
      </c>
    </row>
    <row r="108" spans="1:19" s="5" customFormat="1" ht="13.2" x14ac:dyDescent="0.3">
      <c r="A108" s="6"/>
      <c r="E108" s="5">
        <v>106</v>
      </c>
      <c r="F108" s="5">
        <f t="shared" si="12"/>
        <v>106</v>
      </c>
      <c r="G108" s="8">
        <f t="shared" ca="1" si="19"/>
        <v>0</v>
      </c>
      <c r="H108" s="8">
        <f t="shared" ca="1" si="20"/>
        <v>584.8123413377815</v>
      </c>
      <c r="I108" s="8">
        <f t="shared" ca="1" si="14"/>
        <v>3.3924936535112562</v>
      </c>
      <c r="J108" s="8">
        <f t="shared" si="21"/>
        <v>1000</v>
      </c>
      <c r="K108" s="8">
        <f t="shared" ca="1" si="16"/>
        <v>1.709950234142563</v>
      </c>
      <c r="L108" s="8">
        <f t="shared" ca="1" si="17"/>
        <v>50.000000000000014</v>
      </c>
      <c r="M108" s="8">
        <f t="shared" ca="1" si="18"/>
        <v>85.497511707128169</v>
      </c>
      <c r="N108" s="8">
        <f t="shared" ca="1" si="11"/>
        <v>0.85497511707128171</v>
      </c>
    </row>
    <row r="109" spans="1:19" s="5" customFormat="1" ht="13.2" x14ac:dyDescent="0.3">
      <c r="A109" s="6"/>
      <c r="E109" s="5">
        <v>107</v>
      </c>
      <c r="F109" s="5">
        <f t="shared" si="12"/>
        <v>107</v>
      </c>
      <c r="G109" s="8">
        <f t="shared" ca="1" si="19"/>
        <v>11.433990975087029</v>
      </c>
      <c r="H109" s="8">
        <f t="shared" ca="1" si="20"/>
        <v>581.41984768427028</v>
      </c>
      <c r="I109" s="8">
        <f t="shared" ca="1" si="14"/>
        <v>3.2567939073708048</v>
      </c>
      <c r="J109" s="8">
        <f t="shared" si="21"/>
        <v>1000</v>
      </c>
      <c r="K109" s="8">
        <f t="shared" ca="1" si="16"/>
        <v>1.7199275256647795</v>
      </c>
      <c r="L109" s="8">
        <f t="shared" ca="1" si="17"/>
        <v>50.000000000000014</v>
      </c>
      <c r="M109" s="8">
        <f t="shared" ca="1" si="18"/>
        <v>85.996376283239002</v>
      </c>
      <c r="N109" s="8">
        <f t="shared" ca="1" si="11"/>
        <v>0.85996376283239007</v>
      </c>
    </row>
    <row r="110" spans="1:19" s="5" customFormat="1" ht="13.2" x14ac:dyDescent="0.3">
      <c r="A110" s="6"/>
      <c r="E110" s="5">
        <v>108</v>
      </c>
      <c r="F110" s="5">
        <f t="shared" si="12"/>
        <v>108</v>
      </c>
      <c r="G110" s="8">
        <f t="shared" ca="1" si="19"/>
        <v>0</v>
      </c>
      <c r="H110" s="8">
        <f t="shared" ca="1" si="20"/>
        <v>589.59704475198646</v>
      </c>
      <c r="I110" s="8">
        <f t="shared" ca="1" si="14"/>
        <v>0</v>
      </c>
      <c r="J110" s="8">
        <f t="shared" si="21"/>
        <v>1600</v>
      </c>
      <c r="K110" s="8">
        <f t="shared" ca="1" si="16"/>
        <v>2.7137178081905731</v>
      </c>
      <c r="L110" s="8">
        <f t="shared" ca="1" si="17"/>
        <v>50</v>
      </c>
      <c r="M110" s="8">
        <f t="shared" ca="1" si="18"/>
        <v>135.68589040952867</v>
      </c>
      <c r="N110" s="8">
        <f t="shared" ca="1" si="11"/>
        <v>1.3568589040952868</v>
      </c>
    </row>
    <row r="111" spans="1:19" s="5" customFormat="1" ht="13.2" x14ac:dyDescent="0.3">
      <c r="A111" s="6"/>
      <c r="E111" s="5">
        <v>109</v>
      </c>
      <c r="F111" s="5">
        <f t="shared" si="12"/>
        <v>109</v>
      </c>
      <c r="G111" s="8">
        <f t="shared" ca="1" si="19"/>
        <v>0</v>
      </c>
      <c r="H111" s="8">
        <f t="shared" ca="1" si="20"/>
        <v>589.59704475198646</v>
      </c>
      <c r="I111" s="8">
        <f t="shared" ca="1" si="14"/>
        <v>3.5838817900794595</v>
      </c>
      <c r="J111" s="8">
        <f t="shared" si="21"/>
        <v>1000</v>
      </c>
      <c r="K111" s="8">
        <f t="shared" ca="1" si="16"/>
        <v>1.6960736301191082</v>
      </c>
      <c r="L111" s="8">
        <f t="shared" ca="1" si="17"/>
        <v>50</v>
      </c>
      <c r="M111" s="8">
        <f t="shared" ca="1" si="18"/>
        <v>84.80368150595541</v>
      </c>
      <c r="N111" s="8">
        <f t="shared" ca="1" si="11"/>
        <v>0.84803681505955408</v>
      </c>
    </row>
    <row r="112" spans="1:19" s="5" customFormat="1" ht="13.2" x14ac:dyDescent="0.3">
      <c r="A112" s="6"/>
      <c r="E112" s="5">
        <v>110</v>
      </c>
      <c r="F112" s="5">
        <f t="shared" si="12"/>
        <v>110</v>
      </c>
      <c r="G112" s="8">
        <f t="shared" ca="1" si="19"/>
        <v>11.03880561942151</v>
      </c>
      <c r="H112" s="8">
        <f t="shared" ca="1" si="20"/>
        <v>586.01316296190703</v>
      </c>
      <c r="I112" s="8">
        <f t="shared" ca="1" si="14"/>
        <v>3.4405265184762812</v>
      </c>
      <c r="J112" s="8">
        <f t="shared" si="21"/>
        <v>1000</v>
      </c>
      <c r="K112" s="8">
        <f t="shared" ca="1" si="16"/>
        <v>1.7064463107716978</v>
      </c>
      <c r="L112" s="8">
        <f t="shared" ca="1" si="17"/>
        <v>50</v>
      </c>
      <c r="M112" s="8">
        <f t="shared" ca="1" si="18"/>
        <v>85.322315538584888</v>
      </c>
      <c r="N112" s="8">
        <f t="shared" ca="1" si="11"/>
        <v>0.85322315538584892</v>
      </c>
    </row>
    <row r="113" spans="1:14" s="5" customFormat="1" ht="13.2" x14ac:dyDescent="0.3">
      <c r="A113" s="6"/>
      <c r="E113" s="5">
        <v>111</v>
      </c>
      <c r="F113" s="5">
        <f t="shared" si="12"/>
        <v>111</v>
      </c>
      <c r="G113" s="8">
        <f t="shared" ca="1" si="19"/>
        <v>0</v>
      </c>
      <c r="H113" s="8">
        <f t="shared" ca="1" si="20"/>
        <v>593.61144206285223</v>
      </c>
      <c r="I113" s="8">
        <f t="shared" ca="1" si="14"/>
        <v>0</v>
      </c>
      <c r="J113" s="8">
        <f t="shared" si="21"/>
        <v>1600</v>
      </c>
      <c r="K113" s="8">
        <f t="shared" ca="1" si="16"/>
        <v>2.6953658346608997</v>
      </c>
      <c r="L113" s="8">
        <f t="shared" ca="1" si="17"/>
        <v>50</v>
      </c>
      <c r="M113" s="8">
        <f t="shared" ca="1" si="18"/>
        <v>134.76829173304498</v>
      </c>
      <c r="N113" s="8">
        <f t="shared" ca="1" si="11"/>
        <v>1.3476829173304496</v>
      </c>
    </row>
    <row r="114" spans="1:14" s="5" customFormat="1" ht="13.2" x14ac:dyDescent="0.3">
      <c r="A114" s="6"/>
      <c r="E114" s="5">
        <v>112</v>
      </c>
      <c r="F114" s="5">
        <f t="shared" si="12"/>
        <v>112</v>
      </c>
      <c r="G114" s="8">
        <f t="shared" ca="1" si="19"/>
        <v>0</v>
      </c>
      <c r="H114" s="8">
        <f t="shared" ca="1" si="20"/>
        <v>593.61144206285223</v>
      </c>
      <c r="I114" s="8">
        <f t="shared" ca="1" si="14"/>
        <v>15.74445768251409</v>
      </c>
      <c r="J114" s="8">
        <f t="shared" si="21"/>
        <v>400</v>
      </c>
      <c r="K114" s="8">
        <f t="shared" ca="1" si="16"/>
        <v>0.67384145866522493</v>
      </c>
      <c r="L114" s="8">
        <f t="shared" ca="1" si="17"/>
        <v>50</v>
      </c>
      <c r="M114" s="8">
        <f t="shared" ca="1" si="18"/>
        <v>33.692072933261244</v>
      </c>
      <c r="N114" s="8">
        <f t="shared" ca="1" si="11"/>
        <v>0.33692072933261241</v>
      </c>
    </row>
    <row r="115" spans="1:14" s="5" customFormat="1" ht="13.2" x14ac:dyDescent="0.3">
      <c r="A115" s="6"/>
      <c r="E115" s="5">
        <v>113</v>
      </c>
      <c r="F115" s="5">
        <f t="shared" si="12"/>
        <v>113</v>
      </c>
      <c r="G115" s="8">
        <f t="shared" ca="1" si="19"/>
        <v>10.705767122858603</v>
      </c>
      <c r="H115" s="8">
        <f t="shared" ca="1" si="20"/>
        <v>577.86698438033818</v>
      </c>
      <c r="I115" s="8">
        <f t="shared" ca="1" si="14"/>
        <v>3.1146793752135271</v>
      </c>
      <c r="J115" s="8">
        <f t="shared" si="21"/>
        <v>1000</v>
      </c>
      <c r="K115" s="8">
        <f t="shared" ca="1" si="16"/>
        <v>1.7305020481007858</v>
      </c>
      <c r="L115" s="8">
        <f t="shared" ca="1" si="17"/>
        <v>50</v>
      </c>
      <c r="M115" s="8">
        <f t="shared" ca="1" si="18"/>
        <v>86.525102405039291</v>
      </c>
      <c r="N115" s="8">
        <f t="shared" ca="1" si="11"/>
        <v>0.86525102405039289</v>
      </c>
    </row>
    <row r="116" spans="1:14" s="5" customFormat="1" ht="13.2" x14ac:dyDescent="0.3">
      <c r="A116" s="6"/>
      <c r="E116" s="5">
        <v>114</v>
      </c>
      <c r="F116" s="5">
        <f t="shared" si="12"/>
        <v>114</v>
      </c>
      <c r="G116" s="8">
        <f t="shared" ca="1" si="19"/>
        <v>0</v>
      </c>
      <c r="H116" s="8">
        <f t="shared" ca="1" si="20"/>
        <v>585.45807212798331</v>
      </c>
      <c r="I116" s="8">
        <f t="shared" ca="1" si="14"/>
        <v>0</v>
      </c>
      <c r="J116" s="8">
        <f t="shared" si="21"/>
        <v>1600</v>
      </c>
      <c r="K116" s="8">
        <f t="shared" ca="1" si="16"/>
        <v>2.7329027921409104</v>
      </c>
      <c r="L116" s="8">
        <f t="shared" ca="1" si="17"/>
        <v>50</v>
      </c>
      <c r="M116" s="8">
        <f t="shared" ca="1" si="18"/>
        <v>136.64513960704551</v>
      </c>
      <c r="N116" s="8">
        <f t="shared" ca="1" si="11"/>
        <v>1.3664513960704552</v>
      </c>
    </row>
    <row r="117" spans="1:14" s="5" customFormat="1" ht="13.2" x14ac:dyDescent="0.3">
      <c r="A117" s="6"/>
      <c r="E117" s="5">
        <v>115</v>
      </c>
      <c r="F117" s="5">
        <f t="shared" si="12"/>
        <v>115</v>
      </c>
      <c r="G117" s="8">
        <f t="shared" ca="1" si="19"/>
        <v>0</v>
      </c>
      <c r="H117" s="8">
        <f t="shared" ca="1" si="20"/>
        <v>585.45807212798331</v>
      </c>
      <c r="I117" s="8">
        <f t="shared" ca="1" si="14"/>
        <v>3.4183228851193341</v>
      </c>
      <c r="J117" s="8">
        <f t="shared" si="21"/>
        <v>1000</v>
      </c>
      <c r="K117" s="8">
        <f t="shared" ca="1" si="16"/>
        <v>1.708064245088069</v>
      </c>
      <c r="L117" s="8">
        <f t="shared" ca="1" si="17"/>
        <v>50</v>
      </c>
      <c r="M117" s="8">
        <f t="shared" ca="1" si="18"/>
        <v>85.403212254403442</v>
      </c>
      <c r="N117" s="8">
        <f t="shared" ca="1" si="11"/>
        <v>0.85403212254403438</v>
      </c>
    </row>
    <row r="118" spans="1:14" s="5" customFormat="1" ht="13.2" x14ac:dyDescent="0.3">
      <c r="A118" s="6"/>
      <c r="E118" s="5">
        <v>116</v>
      </c>
      <c r="F118" s="5">
        <f t="shared" si="12"/>
        <v>116</v>
      </c>
      <c r="G118" s="8">
        <f t="shared" ca="1" si="19"/>
        <v>10.430487519913489</v>
      </c>
      <c r="H118" s="8">
        <f t="shared" ca="1" si="20"/>
        <v>582.03974924286399</v>
      </c>
      <c r="I118" s="8">
        <f t="shared" ca="1" si="14"/>
        <v>3.281589969714561</v>
      </c>
      <c r="J118" s="8">
        <f t="shared" si="21"/>
        <v>1000</v>
      </c>
      <c r="K118" s="8">
        <f t="shared" ca="1" si="16"/>
        <v>1.7180957164881474</v>
      </c>
      <c r="L118" s="8">
        <f t="shared" ca="1" si="17"/>
        <v>49.999999999999993</v>
      </c>
      <c r="M118" s="8">
        <f t="shared" ca="1" si="18"/>
        <v>85.904785824407355</v>
      </c>
      <c r="N118" s="8">
        <f t="shared" ca="1" si="11"/>
        <v>0.85904785824407359</v>
      </c>
    </row>
    <row r="119" spans="1:14" s="5" customFormat="1" ht="13.2" x14ac:dyDescent="0.3">
      <c r="A119" s="6"/>
      <c r="E119" s="5">
        <v>117</v>
      </c>
      <c r="F119" s="5">
        <f t="shared" si="12"/>
        <v>117</v>
      </c>
      <c r="G119" s="8">
        <f t="shared" ca="1" si="19"/>
        <v>0</v>
      </c>
      <c r="H119" s="8">
        <f t="shared" ca="1" si="20"/>
        <v>589.18864679306296</v>
      </c>
      <c r="I119" s="8">
        <f t="shared" ca="1" si="14"/>
        <v>0</v>
      </c>
      <c r="J119" s="8">
        <f t="shared" si="21"/>
        <v>1600</v>
      </c>
      <c r="K119" s="8">
        <f t="shared" ca="1" si="16"/>
        <v>2.7155988302027789</v>
      </c>
      <c r="L119" s="8">
        <f t="shared" ca="1" si="17"/>
        <v>50</v>
      </c>
      <c r="M119" s="8">
        <f t="shared" ca="1" si="18"/>
        <v>135.77994151013894</v>
      </c>
      <c r="N119" s="8">
        <f t="shared" ca="1" si="11"/>
        <v>1.3577994151013895</v>
      </c>
    </row>
    <row r="120" spans="1:14" s="5" customFormat="1" ht="13.2" x14ac:dyDescent="0.3">
      <c r="A120" s="6"/>
      <c r="E120" s="5">
        <v>118</v>
      </c>
      <c r="F120" s="5">
        <f t="shared" si="12"/>
        <v>118</v>
      </c>
      <c r="G120" s="8">
        <f t="shared" ca="1" si="19"/>
        <v>0</v>
      </c>
      <c r="H120" s="8">
        <f t="shared" ca="1" si="20"/>
        <v>589.18864679306296</v>
      </c>
      <c r="I120" s="8">
        <f t="shared" ca="1" si="14"/>
        <v>3.5675458717225146</v>
      </c>
      <c r="J120" s="8">
        <f t="shared" si="21"/>
        <v>1000</v>
      </c>
      <c r="K120" s="8">
        <f t="shared" ca="1" si="16"/>
        <v>1.6972492688767367</v>
      </c>
      <c r="L120" s="8">
        <f t="shared" ca="1" si="17"/>
        <v>50.000000000000014</v>
      </c>
      <c r="M120" s="8">
        <f t="shared" ca="1" si="18"/>
        <v>84.862463443836859</v>
      </c>
      <c r="N120" s="8">
        <f t="shared" ca="1" si="11"/>
        <v>0.84862463443836855</v>
      </c>
    </row>
    <row r="121" spans="1:14" s="5" customFormat="1" ht="13.2" x14ac:dyDescent="0.3">
      <c r="A121" s="6"/>
      <c r="E121" s="5">
        <v>119</v>
      </c>
      <c r="F121" s="5">
        <f t="shared" si="12"/>
        <v>119</v>
      </c>
      <c r="G121" s="8">
        <f t="shared" ca="1" si="19"/>
        <v>4.3974167528454622</v>
      </c>
      <c r="H121" s="8">
        <f t="shared" ca="1" si="20"/>
        <v>585.62110092134049</v>
      </c>
      <c r="I121" s="8">
        <f t="shared" ca="1" si="14"/>
        <v>15.424844036853619</v>
      </c>
      <c r="J121" s="8">
        <f t="shared" si="21"/>
        <v>400</v>
      </c>
      <c r="K121" s="8">
        <f t="shared" ca="1" si="16"/>
        <v>0.68303549747557213</v>
      </c>
      <c r="L121" s="8">
        <f t="shared" ca="1" si="17"/>
        <v>49.999999999999993</v>
      </c>
      <c r="M121" s="8">
        <f t="shared" ca="1" si="18"/>
        <v>34.151774873778599</v>
      </c>
      <c r="N121" s="8">
        <f t="shared" ca="1" si="11"/>
        <v>0.34151774873778601</v>
      </c>
    </row>
    <row r="122" spans="1:14" s="5" customFormat="1" ht="13.2" x14ac:dyDescent="0.3">
      <c r="A122" s="6"/>
      <c r="E122" s="5">
        <v>120</v>
      </c>
      <c r="F122" s="5">
        <f t="shared" si="12"/>
        <v>120</v>
      </c>
      <c r="G122" s="8">
        <f t="shared" ca="1" si="19"/>
        <v>0</v>
      </c>
      <c r="H122" s="8">
        <f t="shared" ca="1" si="20"/>
        <v>574.59367363733236</v>
      </c>
      <c r="I122" s="8">
        <f t="shared" ca="1" si="14"/>
        <v>0</v>
      </c>
      <c r="J122" s="8">
        <f t="shared" si="21"/>
        <v>1600</v>
      </c>
      <c r="K122" s="8">
        <f t="shared" ca="1" si="16"/>
        <v>2.7845764292383697</v>
      </c>
      <c r="L122" s="8">
        <f t="shared" ca="1" si="17"/>
        <v>50</v>
      </c>
      <c r="M122" s="8">
        <f t="shared" ca="1" si="18"/>
        <v>139.22882146191847</v>
      </c>
      <c r="N122" s="8">
        <f t="shared" ca="1" si="11"/>
        <v>1.3922882146191846</v>
      </c>
    </row>
    <row r="123" spans="1:14" s="5" customFormat="1" ht="13.2" x14ac:dyDescent="0.3">
      <c r="A123" s="6"/>
      <c r="E123" s="5">
        <v>121</v>
      </c>
      <c r="F123" s="5">
        <f t="shared" si="12"/>
        <v>121</v>
      </c>
      <c r="G123" s="8">
        <f t="shared" ca="1" si="19"/>
        <v>0</v>
      </c>
      <c r="H123" s="8">
        <f t="shared" ca="1" si="20"/>
        <v>574.59367363733236</v>
      </c>
      <c r="I123" s="8">
        <f t="shared" ca="1" si="14"/>
        <v>2.9837469454932943</v>
      </c>
      <c r="J123" s="8">
        <f t="shared" si="21"/>
        <v>1000</v>
      </c>
      <c r="K123" s="8">
        <f t="shared" ca="1" si="16"/>
        <v>1.7403602682739809</v>
      </c>
      <c r="L123" s="8">
        <f t="shared" ca="1" si="17"/>
        <v>50</v>
      </c>
      <c r="M123" s="8">
        <f t="shared" ca="1" si="18"/>
        <v>87.018013413699052</v>
      </c>
      <c r="N123" s="8">
        <f t="shared" ca="1" si="11"/>
        <v>0.87018013413699047</v>
      </c>
    </row>
    <row r="124" spans="1:14" s="5" customFormat="1" ht="13.2" x14ac:dyDescent="0.3">
      <c r="A124" s="6"/>
      <c r="E124" s="5">
        <v>122</v>
      </c>
      <c r="F124" s="5">
        <f t="shared" si="12"/>
        <v>122</v>
      </c>
      <c r="G124" s="8">
        <f t="shared" ca="1" si="19"/>
        <v>10.733982453041683</v>
      </c>
      <c r="H124" s="8">
        <f t="shared" ca="1" si="20"/>
        <v>571.60992669183906</v>
      </c>
      <c r="I124" s="8">
        <f t="shared" ca="1" si="14"/>
        <v>2.8643970676735626</v>
      </c>
      <c r="J124" s="8">
        <f t="shared" si="21"/>
        <v>1000</v>
      </c>
      <c r="K124" s="8">
        <f t="shared" ca="1" si="16"/>
        <v>1.7494447757187228</v>
      </c>
      <c r="L124" s="8">
        <f t="shared" ca="1" si="17"/>
        <v>50</v>
      </c>
      <c r="M124" s="8">
        <f t="shared" ca="1" si="18"/>
        <v>87.472238785936142</v>
      </c>
      <c r="N124" s="8">
        <f t="shared" ca="1" si="11"/>
        <v>0.87472238785936141</v>
      </c>
    </row>
    <row r="125" spans="1:14" s="5" customFormat="1" ht="13.2" x14ac:dyDescent="0.3">
      <c r="A125" s="6"/>
      <c r="E125" s="5">
        <v>123</v>
      </c>
      <c r="F125" s="5">
        <f t="shared" si="12"/>
        <v>123</v>
      </c>
      <c r="G125" s="8">
        <f t="shared" ca="1" si="19"/>
        <v>0</v>
      </c>
      <c r="H125" s="8">
        <f t="shared" ca="1" si="20"/>
        <v>579.47951207720723</v>
      </c>
      <c r="I125" s="8">
        <f t="shared" ca="1" si="14"/>
        <v>0</v>
      </c>
      <c r="J125" s="8">
        <f t="shared" si="21"/>
        <v>1600</v>
      </c>
      <c r="K125" s="8">
        <f t="shared" ca="1" si="16"/>
        <v>2.761098480021539</v>
      </c>
      <c r="L125" s="8">
        <f t="shared" ca="1" si="17"/>
        <v>50</v>
      </c>
      <c r="M125" s="8">
        <f t="shared" ca="1" si="18"/>
        <v>138.05492400107696</v>
      </c>
      <c r="N125" s="8">
        <f t="shared" ca="1" si="11"/>
        <v>1.3805492400107695</v>
      </c>
    </row>
    <row r="126" spans="1:14" s="5" customFormat="1" ht="13.2" x14ac:dyDescent="0.3">
      <c r="A126" s="6"/>
      <c r="E126" s="5">
        <v>124</v>
      </c>
      <c r="F126" s="5">
        <f t="shared" si="12"/>
        <v>124</v>
      </c>
      <c r="G126" s="8">
        <f t="shared" ca="1" si="19"/>
        <v>0</v>
      </c>
      <c r="H126" s="8">
        <f t="shared" ca="1" si="20"/>
        <v>579.47951207720723</v>
      </c>
      <c r="I126" s="8">
        <f t="shared" ca="1" si="14"/>
        <v>3.179180483088289</v>
      </c>
      <c r="J126" s="8">
        <f t="shared" si="21"/>
        <v>1000</v>
      </c>
      <c r="K126" s="8">
        <f t="shared" ca="1" si="16"/>
        <v>1.7256865500134619</v>
      </c>
      <c r="L126" s="8">
        <f t="shared" ca="1" si="17"/>
        <v>50</v>
      </c>
      <c r="M126" s="8">
        <f t="shared" ca="1" si="18"/>
        <v>86.284327500673101</v>
      </c>
      <c r="N126" s="8">
        <f t="shared" ca="1" si="11"/>
        <v>0.86284327500673097</v>
      </c>
    </row>
    <row r="127" spans="1:14" s="5" customFormat="1" ht="13.2" x14ac:dyDescent="0.3">
      <c r="A127" s="6"/>
      <c r="E127" s="5">
        <v>125</v>
      </c>
      <c r="F127" s="5">
        <f t="shared" si="12"/>
        <v>125</v>
      </c>
      <c r="G127" s="8">
        <f t="shared" ca="1" si="19"/>
        <v>11.768646438575539</v>
      </c>
      <c r="H127" s="8">
        <f t="shared" ca="1" si="20"/>
        <v>576.30033159411892</v>
      </c>
      <c r="I127" s="8">
        <f t="shared" ca="1" si="14"/>
        <v>3.0520132637647559</v>
      </c>
      <c r="J127" s="8">
        <f t="shared" si="21"/>
        <v>1000</v>
      </c>
      <c r="K127" s="8">
        <f t="shared" ca="1" si="16"/>
        <v>1.7352063588682567</v>
      </c>
      <c r="L127" s="8">
        <f t="shared" ca="1" si="17"/>
        <v>50</v>
      </c>
      <c r="M127" s="8">
        <f t="shared" ca="1" si="18"/>
        <v>86.760317943412829</v>
      </c>
      <c r="N127" s="8">
        <f t="shared" ca="1" si="11"/>
        <v>0.86760317943412835</v>
      </c>
    </row>
    <row r="128" spans="1:14" s="5" customFormat="1" ht="13.2" x14ac:dyDescent="0.3">
      <c r="A128" s="6"/>
      <c r="E128" s="5">
        <v>126</v>
      </c>
      <c r="F128" s="5">
        <f t="shared" si="12"/>
        <v>126</v>
      </c>
      <c r="G128" s="8">
        <f t="shared" ca="1" si="19"/>
        <v>0</v>
      </c>
      <c r="H128" s="8">
        <f t="shared" ca="1" si="20"/>
        <v>585.01696476892971</v>
      </c>
      <c r="I128" s="8">
        <f t="shared" ca="1" si="14"/>
        <v>0</v>
      </c>
      <c r="J128" s="8">
        <f t="shared" si="21"/>
        <v>1600</v>
      </c>
      <c r="K128" s="8">
        <f t="shared" ca="1" si="16"/>
        <v>2.7349634221837804</v>
      </c>
      <c r="L128" s="8">
        <f t="shared" ca="1" si="17"/>
        <v>50</v>
      </c>
      <c r="M128" s="8">
        <f t="shared" ca="1" si="18"/>
        <v>136.74817110918903</v>
      </c>
      <c r="N128" s="8">
        <f t="shared" ca="1" si="11"/>
        <v>1.3674817110918902</v>
      </c>
    </row>
    <row r="129" spans="1:14" s="5" customFormat="1" ht="13.2" x14ac:dyDescent="0.3">
      <c r="A129" s="6"/>
      <c r="E129" s="5">
        <v>127</v>
      </c>
      <c r="F129" s="5">
        <f t="shared" si="12"/>
        <v>127</v>
      </c>
      <c r="G129" s="8">
        <f t="shared" ca="1" si="19"/>
        <v>0</v>
      </c>
      <c r="H129" s="8">
        <f t="shared" ca="1" si="20"/>
        <v>585.01696476892971</v>
      </c>
      <c r="I129" s="8">
        <f t="shared" ca="1" si="14"/>
        <v>3.4006785907571877</v>
      </c>
      <c r="J129" s="8">
        <f t="shared" si="21"/>
        <v>1000</v>
      </c>
      <c r="K129" s="8">
        <f t="shared" ca="1" si="16"/>
        <v>1.7093521388648627</v>
      </c>
      <c r="L129" s="8">
        <f t="shared" ca="1" si="17"/>
        <v>50</v>
      </c>
      <c r="M129" s="8">
        <f t="shared" ca="1" si="18"/>
        <v>85.46760694324314</v>
      </c>
      <c r="N129" s="8">
        <f t="shared" ca="1" si="11"/>
        <v>0.85467606943243135</v>
      </c>
    </row>
    <row r="130" spans="1:14" s="5" customFormat="1" ht="13.2" x14ac:dyDescent="0.3">
      <c r="A130" s="6"/>
      <c r="E130" s="5">
        <v>128</v>
      </c>
      <c r="F130" s="5">
        <f t="shared" si="12"/>
        <v>128</v>
      </c>
      <c r="G130" s="8">
        <f t="shared" ca="1" si="19"/>
        <v>11.416477200323085</v>
      </c>
      <c r="H130" s="8">
        <f t="shared" ca="1" si="20"/>
        <v>581.61628617817257</v>
      </c>
      <c r="I130" s="8">
        <f t="shared" ca="1" si="14"/>
        <v>3.2646514471269028</v>
      </c>
      <c r="J130" s="8">
        <f t="shared" si="21"/>
        <v>1000</v>
      </c>
      <c r="K130" s="8">
        <f t="shared" ca="1" si="16"/>
        <v>1.7193466272601239</v>
      </c>
      <c r="L130" s="8">
        <f t="shared" ca="1" si="17"/>
        <v>50</v>
      </c>
      <c r="M130" s="8">
        <f t="shared" ca="1" si="18"/>
        <v>85.967331363006195</v>
      </c>
      <c r="N130" s="8">
        <f t="shared" ref="N130:N193" ca="1" si="22">M130/$B$10</f>
        <v>0.85967331363006194</v>
      </c>
    </row>
    <row r="131" spans="1:14" s="5" customFormat="1" ht="13.2" x14ac:dyDescent="0.3">
      <c r="A131" s="6"/>
      <c r="E131" s="5">
        <v>129</v>
      </c>
      <c r="F131" s="5">
        <f t="shared" ref="F131:F194" si="23">E131*$B$2</f>
        <v>129</v>
      </c>
      <c r="G131" s="8">
        <f t="shared" ca="1" si="19"/>
        <v>0</v>
      </c>
      <c r="H131" s="8">
        <f t="shared" ref="H131:H162" ca="1" si="24">H130+(G130-I130)</f>
        <v>589.76811193136871</v>
      </c>
      <c r="I131" s="8">
        <f t="shared" ref="I131:I194" ca="1" si="25">H131*$B$5*$B$2*MAX(0,1-N131)</f>
        <v>0</v>
      </c>
      <c r="J131" s="8">
        <f t="shared" ref="J131:J162" si="26">IF(MOD(F131,3)=0,$B$6+$B$6*$B$12,IF(MOD(F131,7)=0,$B$6-$B$6*$B$12,$B$6))</f>
        <v>1600</v>
      </c>
      <c r="K131" s="8">
        <f t="shared" ca="1" si="16"/>
        <v>2.7129306716165624</v>
      </c>
      <c r="L131" s="8">
        <f t="shared" ca="1" si="17"/>
        <v>50</v>
      </c>
      <c r="M131" s="8">
        <f t="shared" ca="1" si="18"/>
        <v>135.64653358082813</v>
      </c>
      <c r="N131" s="8">
        <f t="shared" ca="1" si="22"/>
        <v>1.3564653358082814</v>
      </c>
    </row>
    <row r="132" spans="1:14" s="5" customFormat="1" ht="13.2" x14ac:dyDescent="0.3">
      <c r="A132" s="6"/>
      <c r="E132" s="5">
        <v>130</v>
      </c>
      <c r="F132" s="5">
        <f t="shared" si="23"/>
        <v>130</v>
      </c>
      <c r="G132" s="8">
        <f t="shared" ca="1" si="19"/>
        <v>0</v>
      </c>
      <c r="H132" s="8">
        <f t="shared" ca="1" si="24"/>
        <v>589.76811193136871</v>
      </c>
      <c r="I132" s="8">
        <f t="shared" ca="1" si="25"/>
        <v>3.5907244772547462</v>
      </c>
      <c r="J132" s="8">
        <f t="shared" si="26"/>
        <v>1000</v>
      </c>
      <c r="K132" s="8">
        <f t="shared" ref="K132:K195" ca="1" si="27">MIN($B$11,J132/H132)</f>
        <v>1.6955816697603514</v>
      </c>
      <c r="L132" s="8">
        <f t="shared" ref="L132:L195" ca="1" si="28">$B$8*(J132/(H132*K132))</f>
        <v>50</v>
      </c>
      <c r="M132" s="8">
        <f t="shared" ref="M132:M195" ca="1" si="29">K132*L132</f>
        <v>84.779083488017577</v>
      </c>
      <c r="N132" s="8">
        <f t="shared" ca="1" si="22"/>
        <v>0.84779083488017581</v>
      </c>
    </row>
    <row r="133" spans="1:14" s="5" customFormat="1" ht="13.2" x14ac:dyDescent="0.3">
      <c r="A133" s="6"/>
      <c r="E133" s="5">
        <v>131</v>
      </c>
      <c r="F133" s="5">
        <f t="shared" si="23"/>
        <v>131</v>
      </c>
      <c r="G133" s="8">
        <f t="shared" ca="1" si="19"/>
        <v>11.024451332756707</v>
      </c>
      <c r="H133" s="8">
        <f t="shared" ca="1" si="24"/>
        <v>586.17738745411395</v>
      </c>
      <c r="I133" s="8">
        <f t="shared" ca="1" si="25"/>
        <v>3.4470954981645572</v>
      </c>
      <c r="J133" s="8">
        <f t="shared" si="26"/>
        <v>1000</v>
      </c>
      <c r="K133" s="8">
        <f t="shared" ca="1" si="27"/>
        <v>1.7059682297592555</v>
      </c>
      <c r="L133" s="8">
        <f t="shared" ca="1" si="28"/>
        <v>50</v>
      </c>
      <c r="M133" s="8">
        <f t="shared" ca="1" si="29"/>
        <v>85.298411487962781</v>
      </c>
      <c r="N133" s="8">
        <f t="shared" ca="1" si="22"/>
        <v>0.85298411487962777</v>
      </c>
    </row>
    <row r="134" spans="1:14" s="5" customFormat="1" ht="13.2" x14ac:dyDescent="0.3">
      <c r="A134" s="6"/>
      <c r="E134" s="5">
        <v>132</v>
      </c>
      <c r="F134" s="5">
        <f t="shared" si="23"/>
        <v>132</v>
      </c>
      <c r="G134" s="8">
        <f t="shared" ca="1" si="19"/>
        <v>0</v>
      </c>
      <c r="H134" s="8">
        <f t="shared" ca="1" si="24"/>
        <v>593.75474328870609</v>
      </c>
      <c r="I134" s="8">
        <f t="shared" ca="1" si="25"/>
        <v>0</v>
      </c>
      <c r="J134" s="8">
        <f t="shared" si="26"/>
        <v>1600</v>
      </c>
      <c r="K134" s="8">
        <f t="shared" ca="1" si="27"/>
        <v>2.6947153148417362</v>
      </c>
      <c r="L134" s="8">
        <f t="shared" ca="1" si="28"/>
        <v>50</v>
      </c>
      <c r="M134" s="8">
        <f t="shared" ca="1" si="29"/>
        <v>134.73576574208681</v>
      </c>
      <c r="N134" s="8">
        <f t="shared" ca="1" si="22"/>
        <v>1.3473576574208681</v>
      </c>
    </row>
    <row r="135" spans="1:14" s="5" customFormat="1" ht="13.2" x14ac:dyDescent="0.3">
      <c r="A135" s="6"/>
      <c r="E135" s="5">
        <v>133</v>
      </c>
      <c r="F135" s="5">
        <f t="shared" si="23"/>
        <v>133</v>
      </c>
      <c r="G135" s="8">
        <f t="shared" ca="1" si="19"/>
        <v>0</v>
      </c>
      <c r="H135" s="8">
        <f t="shared" ca="1" si="24"/>
        <v>593.75474328870609</v>
      </c>
      <c r="I135" s="8">
        <f t="shared" ca="1" si="25"/>
        <v>15.750189731548243</v>
      </c>
      <c r="J135" s="8">
        <f t="shared" si="26"/>
        <v>400</v>
      </c>
      <c r="K135" s="8">
        <f t="shared" ca="1" si="27"/>
        <v>0.67367882871043405</v>
      </c>
      <c r="L135" s="8">
        <f t="shared" ca="1" si="28"/>
        <v>50</v>
      </c>
      <c r="M135" s="8">
        <f t="shared" ca="1" si="29"/>
        <v>33.683941435521703</v>
      </c>
      <c r="N135" s="8">
        <f t="shared" ca="1" si="22"/>
        <v>0.33683941435521703</v>
      </c>
    </row>
    <row r="136" spans="1:14" s="5" customFormat="1" ht="13.2" x14ac:dyDescent="0.3">
      <c r="A136" s="6"/>
      <c r="E136" s="5">
        <v>134</v>
      </c>
      <c r="F136" s="5">
        <f t="shared" si="23"/>
        <v>134</v>
      </c>
      <c r="G136" s="8">
        <f t="shared" ref="G136:G199" ca="1" si="30">MAX(0,IF(OFFSET(N136,-$B$13,0)&gt;=1,J136*$B$4*$B$2*(OFFSET(N136,-$B$13,0)-1),0))</f>
        <v>10.693960074248443</v>
      </c>
      <c r="H136" s="8">
        <f t="shared" ca="1" si="24"/>
        <v>578.00455355715781</v>
      </c>
      <c r="I136" s="8">
        <f t="shared" ca="1" si="25"/>
        <v>3.1201821422863127</v>
      </c>
      <c r="J136" s="8">
        <f t="shared" si="26"/>
        <v>1000</v>
      </c>
      <c r="K136" s="8">
        <f t="shared" ca="1" si="27"/>
        <v>1.7300901763589858</v>
      </c>
      <c r="L136" s="8">
        <f t="shared" ca="1" si="28"/>
        <v>50</v>
      </c>
      <c r="M136" s="8">
        <f t="shared" ca="1" si="29"/>
        <v>86.504508817949286</v>
      </c>
      <c r="N136" s="8">
        <f t="shared" ca="1" si="22"/>
        <v>0.86504508817949288</v>
      </c>
    </row>
    <row r="137" spans="1:14" s="5" customFormat="1" ht="13.2" x14ac:dyDescent="0.3">
      <c r="A137" s="6"/>
      <c r="E137" s="5">
        <v>135</v>
      </c>
      <c r="F137" s="5">
        <f t="shared" si="23"/>
        <v>135</v>
      </c>
      <c r="G137" s="8">
        <f t="shared" ca="1" si="30"/>
        <v>0</v>
      </c>
      <c r="H137" s="8">
        <f t="shared" ca="1" si="24"/>
        <v>585.57833148911993</v>
      </c>
      <c r="I137" s="8">
        <f t="shared" ca="1" si="25"/>
        <v>0</v>
      </c>
      <c r="J137" s="8">
        <f t="shared" si="26"/>
        <v>1600</v>
      </c>
      <c r="K137" s="8">
        <f t="shared" ca="1" si="27"/>
        <v>2.7323415399118609</v>
      </c>
      <c r="L137" s="8">
        <f t="shared" ca="1" si="28"/>
        <v>50</v>
      </c>
      <c r="M137" s="8">
        <f t="shared" ca="1" si="29"/>
        <v>136.61707699559304</v>
      </c>
      <c r="N137" s="8">
        <f t="shared" ca="1" si="22"/>
        <v>1.3661707699559305</v>
      </c>
    </row>
    <row r="138" spans="1:14" s="5" customFormat="1" ht="13.2" x14ac:dyDescent="0.3">
      <c r="A138" s="6"/>
      <c r="E138" s="5">
        <v>136</v>
      </c>
      <c r="F138" s="5">
        <f t="shared" si="23"/>
        <v>136</v>
      </c>
      <c r="G138" s="8">
        <f t="shared" ca="1" si="30"/>
        <v>0</v>
      </c>
      <c r="H138" s="8">
        <f t="shared" ca="1" si="24"/>
        <v>585.57833148911993</v>
      </c>
      <c r="I138" s="8">
        <f t="shared" ca="1" si="25"/>
        <v>3.4231332595647932</v>
      </c>
      <c r="J138" s="8">
        <f t="shared" si="26"/>
        <v>1000</v>
      </c>
      <c r="K138" s="8">
        <f t="shared" ca="1" si="27"/>
        <v>1.7077134624449128</v>
      </c>
      <c r="L138" s="8">
        <f t="shared" ca="1" si="28"/>
        <v>50.000000000000014</v>
      </c>
      <c r="M138" s="8">
        <f t="shared" ca="1" si="29"/>
        <v>85.385673122245663</v>
      </c>
      <c r="N138" s="8">
        <f t="shared" ca="1" si="22"/>
        <v>0.85385673122245664</v>
      </c>
    </row>
    <row r="139" spans="1:14" s="5" customFormat="1" ht="13.2" x14ac:dyDescent="0.3">
      <c r="A139" s="6"/>
      <c r="E139" s="5">
        <v>137</v>
      </c>
      <c r="F139" s="5">
        <f t="shared" si="23"/>
        <v>137</v>
      </c>
      <c r="G139" s="8">
        <f t="shared" ca="1" si="30"/>
        <v>10.420729722626042</v>
      </c>
      <c r="H139" s="8">
        <f t="shared" ca="1" si="24"/>
        <v>582.15519822955514</v>
      </c>
      <c r="I139" s="8">
        <f t="shared" ca="1" si="25"/>
        <v>3.2862079291822019</v>
      </c>
      <c r="J139" s="8">
        <f t="shared" si="26"/>
        <v>1000</v>
      </c>
      <c r="K139" s="8">
        <f t="shared" ca="1" si="27"/>
        <v>1.7177549956458182</v>
      </c>
      <c r="L139" s="8">
        <f t="shared" ca="1" si="28"/>
        <v>50.000000000000014</v>
      </c>
      <c r="M139" s="8">
        <f t="shared" ca="1" si="29"/>
        <v>85.887749782290939</v>
      </c>
      <c r="N139" s="8">
        <f t="shared" ca="1" si="22"/>
        <v>0.85887749782290934</v>
      </c>
    </row>
    <row r="140" spans="1:14" s="5" customFormat="1" ht="13.2" x14ac:dyDescent="0.3">
      <c r="A140" s="6"/>
      <c r="E140" s="5">
        <v>138</v>
      </c>
      <c r="F140" s="5">
        <f t="shared" si="23"/>
        <v>138</v>
      </c>
      <c r="G140" s="8">
        <f t="shared" ca="1" si="30"/>
        <v>0</v>
      </c>
      <c r="H140" s="8">
        <f t="shared" ca="1" si="24"/>
        <v>589.28972002299895</v>
      </c>
      <c r="I140" s="8">
        <f t="shared" ca="1" si="25"/>
        <v>0</v>
      </c>
      <c r="J140" s="8">
        <f t="shared" si="26"/>
        <v>1600</v>
      </c>
      <c r="K140" s="8">
        <f t="shared" ca="1" si="27"/>
        <v>2.715133058722889</v>
      </c>
      <c r="L140" s="8">
        <f t="shared" ca="1" si="28"/>
        <v>50</v>
      </c>
      <c r="M140" s="8">
        <f t="shared" ca="1" si="29"/>
        <v>135.75665293614446</v>
      </c>
      <c r="N140" s="8">
        <f t="shared" ca="1" si="22"/>
        <v>1.3575665293614447</v>
      </c>
    </row>
    <row r="141" spans="1:14" s="5" customFormat="1" ht="13.2" x14ac:dyDescent="0.3">
      <c r="A141" s="6"/>
      <c r="E141" s="5">
        <v>139</v>
      </c>
      <c r="F141" s="5">
        <f t="shared" si="23"/>
        <v>139</v>
      </c>
      <c r="G141" s="8">
        <f t="shared" ca="1" si="30"/>
        <v>0</v>
      </c>
      <c r="H141" s="8">
        <f t="shared" ca="1" si="24"/>
        <v>589.28972002299895</v>
      </c>
      <c r="I141" s="8">
        <f t="shared" ca="1" si="25"/>
        <v>3.5715888009199568</v>
      </c>
      <c r="J141" s="8">
        <f t="shared" si="26"/>
        <v>1000</v>
      </c>
      <c r="K141" s="8">
        <f t="shared" ca="1" si="27"/>
        <v>1.6969581617018057</v>
      </c>
      <c r="L141" s="8">
        <f t="shared" ca="1" si="28"/>
        <v>50</v>
      </c>
      <c r="M141" s="8">
        <f t="shared" ca="1" si="29"/>
        <v>84.847908085090282</v>
      </c>
      <c r="N141" s="8">
        <f t="shared" ca="1" si="22"/>
        <v>0.84847908085090284</v>
      </c>
    </row>
    <row r="142" spans="1:14" s="5" customFormat="1" ht="13.2" x14ac:dyDescent="0.3">
      <c r="A142" s="6"/>
      <c r="E142" s="5">
        <v>140</v>
      </c>
      <c r="F142" s="5">
        <f t="shared" si="23"/>
        <v>140</v>
      </c>
      <c r="G142" s="8">
        <f t="shared" ca="1" si="30"/>
        <v>4.3940492394711654</v>
      </c>
      <c r="H142" s="8">
        <f t="shared" ca="1" si="24"/>
        <v>585.71813122207902</v>
      </c>
      <c r="I142" s="8">
        <f t="shared" ca="1" si="25"/>
        <v>15.428725248883161</v>
      </c>
      <c r="J142" s="8">
        <f t="shared" si="26"/>
        <v>400</v>
      </c>
      <c r="K142" s="8">
        <f t="shared" ca="1" si="27"/>
        <v>0.68292234554087461</v>
      </c>
      <c r="L142" s="8">
        <f t="shared" ca="1" si="28"/>
        <v>50</v>
      </c>
      <c r="M142" s="8">
        <f t="shared" ca="1" si="29"/>
        <v>34.146117277043729</v>
      </c>
      <c r="N142" s="8">
        <f t="shared" ca="1" si="22"/>
        <v>0.3414611727704373</v>
      </c>
    </row>
    <row r="143" spans="1:14" s="5" customFormat="1" ht="13.2" x14ac:dyDescent="0.3">
      <c r="A143" s="6"/>
      <c r="E143" s="5">
        <v>141</v>
      </c>
      <c r="F143" s="5">
        <f t="shared" si="23"/>
        <v>141</v>
      </c>
      <c r="G143" s="8">
        <f t="shared" ca="1" si="30"/>
        <v>0</v>
      </c>
      <c r="H143" s="8">
        <f t="shared" ca="1" si="24"/>
        <v>574.68345521266701</v>
      </c>
      <c r="I143" s="8">
        <f t="shared" ca="1" si="25"/>
        <v>0</v>
      </c>
      <c r="J143" s="8">
        <f t="shared" si="26"/>
        <v>1600</v>
      </c>
      <c r="K143" s="8">
        <f t="shared" ca="1" si="27"/>
        <v>2.7841414007784597</v>
      </c>
      <c r="L143" s="8">
        <f t="shared" ca="1" si="28"/>
        <v>50</v>
      </c>
      <c r="M143" s="8">
        <f t="shared" ca="1" si="29"/>
        <v>139.20707003892298</v>
      </c>
      <c r="N143" s="8">
        <f t="shared" ca="1" si="22"/>
        <v>1.3920707003892299</v>
      </c>
    </row>
    <row r="144" spans="1:14" s="5" customFormat="1" ht="13.2" x14ac:dyDescent="0.3">
      <c r="A144" s="6"/>
      <c r="E144" s="5">
        <v>142</v>
      </c>
      <c r="F144" s="5">
        <f t="shared" si="23"/>
        <v>142</v>
      </c>
      <c r="G144" s="8">
        <f t="shared" ca="1" si="30"/>
        <v>0</v>
      </c>
      <c r="H144" s="8">
        <f t="shared" ca="1" si="24"/>
        <v>574.68345521266701</v>
      </c>
      <c r="I144" s="8">
        <f t="shared" ca="1" si="25"/>
        <v>2.987338208506682</v>
      </c>
      <c r="J144" s="8">
        <f t="shared" si="26"/>
        <v>1000</v>
      </c>
      <c r="K144" s="8">
        <f t="shared" ca="1" si="27"/>
        <v>1.7400883754865373</v>
      </c>
      <c r="L144" s="8">
        <f t="shared" ca="1" si="28"/>
        <v>50</v>
      </c>
      <c r="M144" s="8">
        <f t="shared" ca="1" si="29"/>
        <v>87.004418774326865</v>
      </c>
      <c r="N144" s="8">
        <f t="shared" ca="1" si="22"/>
        <v>0.87004418774326864</v>
      </c>
    </row>
    <row r="145" spans="1:14" s="5" customFormat="1" ht="13.2" x14ac:dyDescent="0.3">
      <c r="A145" s="6"/>
      <c r="E145" s="5">
        <v>143</v>
      </c>
      <c r="F145" s="5">
        <f t="shared" si="23"/>
        <v>143</v>
      </c>
      <c r="G145" s="8">
        <f t="shared" ca="1" si="30"/>
        <v>10.726995880843342</v>
      </c>
      <c r="H145" s="8">
        <f t="shared" ca="1" si="24"/>
        <v>571.69611700416033</v>
      </c>
      <c r="I145" s="8">
        <f t="shared" ca="1" si="25"/>
        <v>2.867844680166415</v>
      </c>
      <c r="J145" s="8">
        <f t="shared" si="26"/>
        <v>1000</v>
      </c>
      <c r="K145" s="8">
        <f t="shared" ca="1" si="27"/>
        <v>1.7491810251226927</v>
      </c>
      <c r="L145" s="8">
        <f t="shared" ca="1" si="28"/>
        <v>50</v>
      </c>
      <c r="M145" s="8">
        <f t="shared" ca="1" si="29"/>
        <v>87.459051256134629</v>
      </c>
      <c r="N145" s="8">
        <f t="shared" ca="1" si="22"/>
        <v>0.87459051256134623</v>
      </c>
    </row>
    <row r="146" spans="1:14" s="5" customFormat="1" ht="13.2" x14ac:dyDescent="0.3">
      <c r="A146" s="6"/>
      <c r="E146" s="5">
        <v>144</v>
      </c>
      <c r="F146" s="5">
        <f t="shared" si="23"/>
        <v>144</v>
      </c>
      <c r="G146" s="8">
        <f t="shared" ca="1" si="30"/>
        <v>0</v>
      </c>
      <c r="H146" s="8">
        <f t="shared" ca="1" si="24"/>
        <v>579.55526820483726</v>
      </c>
      <c r="I146" s="8">
        <f t="shared" ca="1" si="25"/>
        <v>0</v>
      </c>
      <c r="J146" s="8">
        <f t="shared" si="26"/>
        <v>1600</v>
      </c>
      <c r="K146" s="8">
        <f t="shared" ca="1" si="27"/>
        <v>2.7607375651263997</v>
      </c>
      <c r="L146" s="8">
        <f t="shared" ca="1" si="28"/>
        <v>50</v>
      </c>
      <c r="M146" s="8">
        <f t="shared" ca="1" si="29"/>
        <v>138.03687825631999</v>
      </c>
      <c r="N146" s="8">
        <f t="shared" ca="1" si="22"/>
        <v>1.3803687825631998</v>
      </c>
    </row>
    <row r="147" spans="1:14" s="5" customFormat="1" ht="13.2" x14ac:dyDescent="0.3">
      <c r="A147" s="6"/>
      <c r="E147" s="5">
        <v>145</v>
      </c>
      <c r="F147" s="5">
        <f t="shared" si="23"/>
        <v>145</v>
      </c>
      <c r="G147" s="8">
        <f t="shared" ca="1" si="30"/>
        <v>0</v>
      </c>
      <c r="H147" s="8">
        <f t="shared" ca="1" si="24"/>
        <v>579.55526820483726</v>
      </c>
      <c r="I147" s="8">
        <f t="shared" ca="1" si="25"/>
        <v>3.1822107281934917</v>
      </c>
      <c r="J147" s="8">
        <f t="shared" si="26"/>
        <v>1000</v>
      </c>
      <c r="K147" s="8">
        <f t="shared" ca="1" si="27"/>
        <v>1.7254609782039998</v>
      </c>
      <c r="L147" s="8">
        <f t="shared" ca="1" si="28"/>
        <v>50</v>
      </c>
      <c r="M147" s="8">
        <f t="shared" ca="1" si="29"/>
        <v>86.273048910199989</v>
      </c>
      <c r="N147" s="8">
        <f t="shared" ca="1" si="22"/>
        <v>0.8627304891019999</v>
      </c>
    </row>
    <row r="148" spans="1:14" s="5" customFormat="1" ht="13.2" x14ac:dyDescent="0.3">
      <c r="A148" s="6"/>
      <c r="E148" s="5">
        <v>146</v>
      </c>
      <c r="F148" s="5">
        <f t="shared" si="23"/>
        <v>146</v>
      </c>
      <c r="G148" s="8">
        <f t="shared" ca="1" si="30"/>
        <v>11.762121011676896</v>
      </c>
      <c r="H148" s="8">
        <f t="shared" ca="1" si="24"/>
        <v>576.37305747664379</v>
      </c>
      <c r="I148" s="8">
        <f t="shared" ca="1" si="25"/>
        <v>3.0549222990657525</v>
      </c>
      <c r="J148" s="8">
        <f t="shared" si="26"/>
        <v>1000</v>
      </c>
      <c r="K148" s="8">
        <f t="shared" ca="1" si="27"/>
        <v>1.734987413148684</v>
      </c>
      <c r="L148" s="8">
        <f t="shared" ca="1" si="28"/>
        <v>50</v>
      </c>
      <c r="M148" s="8">
        <f t="shared" ca="1" si="29"/>
        <v>86.749370657434199</v>
      </c>
      <c r="N148" s="8">
        <f t="shared" ca="1" si="22"/>
        <v>0.86749370657434199</v>
      </c>
    </row>
    <row r="149" spans="1:14" s="5" customFormat="1" ht="13.2" x14ac:dyDescent="0.3">
      <c r="A149" s="6"/>
      <c r="E149" s="5">
        <v>147</v>
      </c>
      <c r="F149" s="5">
        <f t="shared" si="23"/>
        <v>147</v>
      </c>
      <c r="G149" s="8">
        <f t="shared" ca="1" si="30"/>
        <v>0</v>
      </c>
      <c r="H149" s="8">
        <f t="shared" ca="1" si="24"/>
        <v>585.0802561892549</v>
      </c>
      <c r="I149" s="8">
        <f t="shared" ca="1" si="25"/>
        <v>0</v>
      </c>
      <c r="J149" s="8">
        <f t="shared" si="26"/>
        <v>1600</v>
      </c>
      <c r="K149" s="8">
        <f t="shared" ca="1" si="27"/>
        <v>2.7346675658158781</v>
      </c>
      <c r="L149" s="8">
        <f t="shared" ca="1" si="28"/>
        <v>50</v>
      </c>
      <c r="M149" s="8">
        <f t="shared" ca="1" si="29"/>
        <v>136.73337829079389</v>
      </c>
      <c r="N149" s="8">
        <f t="shared" ca="1" si="22"/>
        <v>1.3673337829079388</v>
      </c>
    </row>
    <row r="150" spans="1:14" s="5" customFormat="1" ht="13.2" x14ac:dyDescent="0.3">
      <c r="A150" s="6"/>
      <c r="E150" s="5">
        <v>148</v>
      </c>
      <c r="F150" s="5">
        <f t="shared" si="23"/>
        <v>148</v>
      </c>
      <c r="G150" s="8">
        <f t="shared" ca="1" si="30"/>
        <v>0</v>
      </c>
      <c r="H150" s="8">
        <f t="shared" ca="1" si="24"/>
        <v>585.0802561892549</v>
      </c>
      <c r="I150" s="8">
        <f t="shared" ca="1" si="25"/>
        <v>3.403210247570196</v>
      </c>
      <c r="J150" s="8">
        <f t="shared" si="26"/>
        <v>1000</v>
      </c>
      <c r="K150" s="8">
        <f t="shared" ca="1" si="27"/>
        <v>1.7091672286349238</v>
      </c>
      <c r="L150" s="8">
        <f t="shared" ca="1" si="28"/>
        <v>50</v>
      </c>
      <c r="M150" s="8">
        <f t="shared" ca="1" si="29"/>
        <v>85.458361431746184</v>
      </c>
      <c r="N150" s="8">
        <f t="shared" ca="1" si="22"/>
        <v>0.85458361431746188</v>
      </c>
    </row>
    <row r="151" spans="1:14" s="5" customFormat="1" ht="13.2" x14ac:dyDescent="0.3">
      <c r="A151" s="6"/>
      <c r="E151" s="5">
        <v>149</v>
      </c>
      <c r="F151" s="5">
        <f t="shared" si="23"/>
        <v>149</v>
      </c>
      <c r="G151" s="8">
        <f t="shared" ca="1" si="30"/>
        <v>11.411063476895995</v>
      </c>
      <c r="H151" s="8">
        <f t="shared" ca="1" si="24"/>
        <v>581.6770459416847</v>
      </c>
      <c r="I151" s="8">
        <f t="shared" ca="1" si="25"/>
        <v>3.267081837667388</v>
      </c>
      <c r="J151" s="8">
        <f t="shared" si="26"/>
        <v>1000</v>
      </c>
      <c r="K151" s="8">
        <f t="shared" ca="1" si="27"/>
        <v>1.7191670308755036</v>
      </c>
      <c r="L151" s="8">
        <f t="shared" ca="1" si="28"/>
        <v>50</v>
      </c>
      <c r="M151" s="8">
        <f t="shared" ca="1" si="29"/>
        <v>85.95835154377518</v>
      </c>
      <c r="N151" s="8">
        <f t="shared" ca="1" si="22"/>
        <v>0.8595835154377518</v>
      </c>
    </row>
    <row r="152" spans="1:14" s="5" customFormat="1" ht="13.2" x14ac:dyDescent="0.3">
      <c r="A152" s="6"/>
      <c r="E152" s="5">
        <v>150</v>
      </c>
      <c r="F152" s="5">
        <f t="shared" si="23"/>
        <v>150</v>
      </c>
      <c r="G152" s="8">
        <f t="shared" ca="1" si="30"/>
        <v>0</v>
      </c>
      <c r="H152" s="8">
        <f t="shared" ca="1" si="24"/>
        <v>589.82102758091332</v>
      </c>
      <c r="I152" s="8">
        <f t="shared" ca="1" si="25"/>
        <v>0</v>
      </c>
      <c r="J152" s="8">
        <f t="shared" si="26"/>
        <v>1600</v>
      </c>
      <c r="K152" s="8">
        <f t="shared" ca="1" si="27"/>
        <v>2.7126872817034444</v>
      </c>
      <c r="L152" s="8">
        <f t="shared" ca="1" si="28"/>
        <v>50</v>
      </c>
      <c r="M152" s="8">
        <f t="shared" ca="1" si="29"/>
        <v>135.63436408517222</v>
      </c>
      <c r="N152" s="8">
        <f t="shared" ca="1" si="22"/>
        <v>1.3563436408517222</v>
      </c>
    </row>
    <row r="153" spans="1:14" s="5" customFormat="1" ht="13.2" x14ac:dyDescent="0.3">
      <c r="A153" s="6"/>
      <c r="E153" s="5">
        <v>151</v>
      </c>
      <c r="F153" s="5">
        <f t="shared" si="23"/>
        <v>151</v>
      </c>
      <c r="G153" s="8">
        <f t="shared" ca="1" si="30"/>
        <v>0</v>
      </c>
      <c r="H153" s="8">
        <f t="shared" ca="1" si="24"/>
        <v>589.82102758091332</v>
      </c>
      <c r="I153" s="8">
        <f t="shared" ca="1" si="25"/>
        <v>3.5928411032365335</v>
      </c>
      <c r="J153" s="8">
        <f t="shared" si="26"/>
        <v>1000</v>
      </c>
      <c r="K153" s="8">
        <f t="shared" ca="1" si="27"/>
        <v>1.6954295510646527</v>
      </c>
      <c r="L153" s="8">
        <f t="shared" ca="1" si="28"/>
        <v>50</v>
      </c>
      <c r="M153" s="8">
        <f t="shared" ca="1" si="29"/>
        <v>84.771477553232629</v>
      </c>
      <c r="N153" s="8">
        <f t="shared" ca="1" si="22"/>
        <v>0.84771477553232633</v>
      </c>
    </row>
    <row r="154" spans="1:14" s="5" customFormat="1" ht="13.2" x14ac:dyDescent="0.3">
      <c r="A154" s="6"/>
      <c r="E154" s="5">
        <v>152</v>
      </c>
      <c r="F154" s="5">
        <f t="shared" si="23"/>
        <v>152</v>
      </c>
      <c r="G154" s="8">
        <f t="shared" ca="1" si="30"/>
        <v>11.020013487238165</v>
      </c>
      <c r="H154" s="8">
        <f t="shared" ca="1" si="24"/>
        <v>586.22818647767679</v>
      </c>
      <c r="I154" s="8">
        <f t="shared" ca="1" si="25"/>
        <v>3.4491274591070753</v>
      </c>
      <c r="J154" s="8">
        <f t="shared" si="26"/>
        <v>1000</v>
      </c>
      <c r="K154" s="8">
        <f t="shared" ca="1" si="27"/>
        <v>1.7058204007699644</v>
      </c>
      <c r="L154" s="8">
        <f t="shared" ca="1" si="28"/>
        <v>49.999999999999993</v>
      </c>
      <c r="M154" s="8">
        <f t="shared" ca="1" si="29"/>
        <v>85.291020038498203</v>
      </c>
      <c r="N154" s="8">
        <f t="shared" ca="1" si="22"/>
        <v>0.852910200384982</v>
      </c>
    </row>
    <row r="155" spans="1:14" s="5" customFormat="1" ht="13.2" x14ac:dyDescent="0.3">
      <c r="A155" s="6"/>
      <c r="E155" s="5">
        <v>153</v>
      </c>
      <c r="F155" s="5">
        <f t="shared" si="23"/>
        <v>153</v>
      </c>
      <c r="G155" s="8">
        <f t="shared" ca="1" si="30"/>
        <v>0</v>
      </c>
      <c r="H155" s="8">
        <f t="shared" ca="1" si="24"/>
        <v>593.79907250580789</v>
      </c>
      <c r="I155" s="8">
        <f t="shared" ca="1" si="25"/>
        <v>0</v>
      </c>
      <c r="J155" s="8">
        <f t="shared" si="26"/>
        <v>1600</v>
      </c>
      <c r="K155" s="8">
        <f t="shared" ca="1" si="27"/>
        <v>2.6945141447393395</v>
      </c>
      <c r="L155" s="8">
        <f t="shared" ca="1" si="28"/>
        <v>50</v>
      </c>
      <c r="M155" s="8">
        <f t="shared" ca="1" si="29"/>
        <v>134.72570723696697</v>
      </c>
      <c r="N155" s="8">
        <f t="shared" ca="1" si="22"/>
        <v>1.3472570723696697</v>
      </c>
    </row>
    <row r="156" spans="1:14" s="5" customFormat="1" ht="13.2" x14ac:dyDescent="0.3">
      <c r="A156" s="6"/>
      <c r="E156" s="5">
        <v>154</v>
      </c>
      <c r="F156" s="5">
        <f t="shared" si="23"/>
        <v>154</v>
      </c>
      <c r="G156" s="8">
        <f t="shared" ca="1" si="30"/>
        <v>0</v>
      </c>
      <c r="H156" s="8">
        <f t="shared" ca="1" si="24"/>
        <v>593.79907250580789</v>
      </c>
      <c r="I156" s="8">
        <f t="shared" ca="1" si="25"/>
        <v>15.751962900232314</v>
      </c>
      <c r="J156" s="8">
        <f t="shared" si="26"/>
        <v>400</v>
      </c>
      <c r="K156" s="8">
        <f t="shared" ca="1" si="27"/>
        <v>0.67362853618483487</v>
      </c>
      <c r="L156" s="8">
        <f t="shared" ca="1" si="28"/>
        <v>50</v>
      </c>
      <c r="M156" s="8">
        <f t="shared" ca="1" si="29"/>
        <v>33.681426809241742</v>
      </c>
      <c r="N156" s="8">
        <f t="shared" ca="1" si="22"/>
        <v>0.33681426809241743</v>
      </c>
    </row>
    <row r="157" spans="1:14" s="5" customFormat="1" ht="13.2" x14ac:dyDescent="0.3">
      <c r="A157" s="6"/>
      <c r="E157" s="5">
        <v>155</v>
      </c>
      <c r="F157" s="5">
        <f t="shared" si="23"/>
        <v>155</v>
      </c>
      <c r="G157" s="8">
        <f t="shared" ca="1" si="30"/>
        <v>10.690309225551665</v>
      </c>
      <c r="H157" s="8">
        <f t="shared" ca="1" si="24"/>
        <v>578.04710960557554</v>
      </c>
      <c r="I157" s="8">
        <f t="shared" ca="1" si="25"/>
        <v>3.1218843842230211</v>
      </c>
      <c r="J157" s="8">
        <f t="shared" si="26"/>
        <v>1000</v>
      </c>
      <c r="K157" s="8">
        <f t="shared" ca="1" si="27"/>
        <v>1.7299628064611199</v>
      </c>
      <c r="L157" s="8">
        <f t="shared" ca="1" si="28"/>
        <v>50</v>
      </c>
      <c r="M157" s="8">
        <f t="shared" ca="1" si="29"/>
        <v>86.498140323055992</v>
      </c>
      <c r="N157" s="8">
        <f t="shared" ca="1" si="22"/>
        <v>0.86498140323055994</v>
      </c>
    </row>
    <row r="158" spans="1:14" s="5" customFormat="1" ht="13.2" x14ac:dyDescent="0.3">
      <c r="A158" s="6"/>
      <c r="E158" s="5">
        <v>156</v>
      </c>
      <c r="F158" s="5">
        <f t="shared" si="23"/>
        <v>156</v>
      </c>
      <c r="G158" s="8">
        <f t="shared" ca="1" si="30"/>
        <v>0</v>
      </c>
      <c r="H158" s="8">
        <f t="shared" ca="1" si="24"/>
        <v>585.61553444690423</v>
      </c>
      <c r="I158" s="8">
        <f t="shared" ca="1" si="25"/>
        <v>0</v>
      </c>
      <c r="J158" s="8">
        <f t="shared" si="26"/>
        <v>1600</v>
      </c>
      <c r="K158" s="8">
        <f t="shared" ca="1" si="27"/>
        <v>2.7321679598393005</v>
      </c>
      <c r="L158" s="8">
        <f t="shared" ca="1" si="28"/>
        <v>50</v>
      </c>
      <c r="M158" s="8">
        <f t="shared" ca="1" si="29"/>
        <v>136.60839799196503</v>
      </c>
      <c r="N158" s="8">
        <f t="shared" ca="1" si="22"/>
        <v>1.3660839799196502</v>
      </c>
    </row>
    <row r="159" spans="1:14" s="5" customFormat="1" ht="13.2" x14ac:dyDescent="0.3">
      <c r="A159" s="6"/>
      <c r="E159" s="5">
        <v>157</v>
      </c>
      <c r="F159" s="5">
        <f t="shared" si="23"/>
        <v>157</v>
      </c>
      <c r="G159" s="8">
        <f t="shared" ca="1" si="30"/>
        <v>0</v>
      </c>
      <c r="H159" s="8">
        <f t="shared" ca="1" si="24"/>
        <v>585.61553444690423</v>
      </c>
      <c r="I159" s="8">
        <f t="shared" ca="1" si="25"/>
        <v>3.4246213778761709</v>
      </c>
      <c r="J159" s="8">
        <f t="shared" si="26"/>
        <v>1000</v>
      </c>
      <c r="K159" s="8">
        <f t="shared" ca="1" si="27"/>
        <v>1.707604974899563</v>
      </c>
      <c r="L159" s="8">
        <f t="shared" ca="1" si="28"/>
        <v>49.999999999999993</v>
      </c>
      <c r="M159" s="8">
        <f t="shared" ca="1" si="29"/>
        <v>85.380248744978132</v>
      </c>
      <c r="N159" s="8">
        <f t="shared" ca="1" si="22"/>
        <v>0.85380248744978138</v>
      </c>
    </row>
    <row r="160" spans="1:14" s="5" customFormat="1" ht="13.2" x14ac:dyDescent="0.3">
      <c r="A160" s="6"/>
      <c r="E160" s="5">
        <v>158</v>
      </c>
      <c r="F160" s="5">
        <f t="shared" si="23"/>
        <v>158</v>
      </c>
      <c r="G160" s="8">
        <f t="shared" ca="1" si="30"/>
        <v>10.417712171090091</v>
      </c>
      <c r="H160" s="8">
        <f t="shared" ca="1" si="24"/>
        <v>582.19091306902806</v>
      </c>
      <c r="I160" s="8">
        <f t="shared" ca="1" si="25"/>
        <v>3.2876365227611215</v>
      </c>
      <c r="J160" s="8">
        <f t="shared" si="26"/>
        <v>1000</v>
      </c>
      <c r="K160" s="8">
        <f t="shared" ca="1" si="27"/>
        <v>1.7176496189686046</v>
      </c>
      <c r="L160" s="8">
        <f t="shared" ca="1" si="28"/>
        <v>50</v>
      </c>
      <c r="M160" s="8">
        <f t="shared" ca="1" si="29"/>
        <v>85.882480948430228</v>
      </c>
      <c r="N160" s="8">
        <f t="shared" ca="1" si="22"/>
        <v>0.85882480948430229</v>
      </c>
    </row>
    <row r="161" spans="1:14" s="5" customFormat="1" ht="13.2" x14ac:dyDescent="0.3">
      <c r="A161" s="6"/>
      <c r="E161" s="5">
        <v>159</v>
      </c>
      <c r="F161" s="5">
        <f t="shared" si="23"/>
        <v>159</v>
      </c>
      <c r="G161" s="8">
        <f t="shared" ca="1" si="30"/>
        <v>0</v>
      </c>
      <c r="H161" s="8">
        <f t="shared" ca="1" si="24"/>
        <v>589.32098871735707</v>
      </c>
      <c r="I161" s="8">
        <f t="shared" ca="1" si="25"/>
        <v>0</v>
      </c>
      <c r="J161" s="8">
        <f t="shared" si="26"/>
        <v>1600</v>
      </c>
      <c r="K161" s="8">
        <f t="shared" ca="1" si="27"/>
        <v>2.7149889968832799</v>
      </c>
      <c r="L161" s="8">
        <f t="shared" ca="1" si="28"/>
        <v>50</v>
      </c>
      <c r="M161" s="8">
        <f t="shared" ca="1" si="29"/>
        <v>135.74944984416399</v>
      </c>
      <c r="N161" s="8">
        <f t="shared" ca="1" si="22"/>
        <v>1.3574944984416399</v>
      </c>
    </row>
    <row r="162" spans="1:14" s="5" customFormat="1" ht="13.2" x14ac:dyDescent="0.3">
      <c r="A162" s="6"/>
      <c r="E162" s="5">
        <v>160</v>
      </c>
      <c r="F162" s="5">
        <f t="shared" si="23"/>
        <v>160</v>
      </c>
      <c r="G162" s="8">
        <f t="shared" ca="1" si="30"/>
        <v>0</v>
      </c>
      <c r="H162" s="8">
        <f t="shared" ca="1" si="24"/>
        <v>589.32098871735707</v>
      </c>
      <c r="I162" s="8">
        <f t="shared" ca="1" si="25"/>
        <v>3.572839548694283</v>
      </c>
      <c r="J162" s="8">
        <f t="shared" si="26"/>
        <v>1000</v>
      </c>
      <c r="K162" s="8">
        <f t="shared" ca="1" si="27"/>
        <v>1.6968681230520499</v>
      </c>
      <c r="L162" s="8">
        <f t="shared" ca="1" si="28"/>
        <v>50</v>
      </c>
      <c r="M162" s="8">
        <f t="shared" ca="1" si="29"/>
        <v>84.843406152602498</v>
      </c>
      <c r="N162" s="8">
        <f t="shared" ca="1" si="22"/>
        <v>0.84843406152602496</v>
      </c>
    </row>
    <row r="163" spans="1:14" s="5" customFormat="1" ht="13.2" x14ac:dyDescent="0.3">
      <c r="A163" s="6"/>
      <c r="E163" s="5">
        <v>161</v>
      </c>
      <c r="F163" s="5">
        <f t="shared" si="23"/>
        <v>161</v>
      </c>
      <c r="G163" s="8">
        <f t="shared" ca="1" si="30"/>
        <v>4.393007759035803</v>
      </c>
      <c r="H163" s="8">
        <f t="shared" ref="H163:H194" ca="1" si="31">H162+(G162-I162)</f>
        <v>585.74814916866274</v>
      </c>
      <c r="I163" s="8">
        <f t="shared" ca="1" si="25"/>
        <v>15.429925966746508</v>
      </c>
      <c r="J163" s="8">
        <f t="shared" ref="J163:J194" si="32">IF(MOD(F163,3)=0,$B$6+$B$6*$B$12,IF(MOD(F163,7)=0,$B$6-$B$6*$B$12,$B$6))</f>
        <v>400</v>
      </c>
      <c r="K163" s="8">
        <f t="shared" ca="1" si="27"/>
        <v>0.68288734768980441</v>
      </c>
      <c r="L163" s="8">
        <f t="shared" ca="1" si="28"/>
        <v>50</v>
      </c>
      <c r="M163" s="8">
        <f t="shared" ca="1" si="29"/>
        <v>34.144367384490224</v>
      </c>
      <c r="N163" s="8">
        <f t="shared" ca="1" si="22"/>
        <v>0.34144367384490226</v>
      </c>
    </row>
    <row r="164" spans="1:14" s="5" customFormat="1" ht="13.2" x14ac:dyDescent="0.3">
      <c r="A164" s="6"/>
      <c r="E164" s="5">
        <v>162</v>
      </c>
      <c r="F164" s="5">
        <f t="shared" si="23"/>
        <v>162</v>
      </c>
      <c r="G164" s="8">
        <f t="shared" ca="1" si="30"/>
        <v>0</v>
      </c>
      <c r="H164" s="8">
        <f t="shared" ca="1" si="31"/>
        <v>574.71123096095198</v>
      </c>
      <c r="I164" s="8">
        <f t="shared" ca="1" si="25"/>
        <v>0</v>
      </c>
      <c r="J164" s="8">
        <f t="shared" si="32"/>
        <v>1600</v>
      </c>
      <c r="K164" s="8">
        <f t="shared" ca="1" si="27"/>
        <v>2.7840068434450167</v>
      </c>
      <c r="L164" s="8">
        <f t="shared" ca="1" si="28"/>
        <v>50.000000000000014</v>
      </c>
      <c r="M164" s="8">
        <f t="shared" ca="1" si="29"/>
        <v>139.20034217225088</v>
      </c>
      <c r="N164" s="8">
        <f t="shared" ca="1" si="22"/>
        <v>1.3920034217225088</v>
      </c>
    </row>
    <row r="165" spans="1:14" s="5" customFormat="1" ht="13.2" x14ac:dyDescent="0.3">
      <c r="A165" s="6"/>
      <c r="E165" s="5">
        <v>163</v>
      </c>
      <c r="F165" s="5">
        <f t="shared" si="23"/>
        <v>163</v>
      </c>
      <c r="G165" s="8">
        <f t="shared" ca="1" si="30"/>
        <v>0</v>
      </c>
      <c r="H165" s="8">
        <f t="shared" ca="1" si="31"/>
        <v>574.71123096095198</v>
      </c>
      <c r="I165" s="8">
        <f t="shared" ca="1" si="25"/>
        <v>2.9884492384380756</v>
      </c>
      <c r="J165" s="8">
        <f t="shared" si="32"/>
        <v>1000</v>
      </c>
      <c r="K165" s="8">
        <f t="shared" ca="1" si="27"/>
        <v>1.7400042771531357</v>
      </c>
      <c r="L165" s="8">
        <f t="shared" ca="1" si="28"/>
        <v>50</v>
      </c>
      <c r="M165" s="8">
        <f t="shared" ca="1" si="29"/>
        <v>87.000213857656789</v>
      </c>
      <c r="N165" s="8">
        <f t="shared" ca="1" si="22"/>
        <v>0.87000213857656794</v>
      </c>
    </row>
    <row r="166" spans="1:14" s="5" customFormat="1" ht="13.2" x14ac:dyDescent="0.3">
      <c r="A166" s="6"/>
      <c r="E166" s="5">
        <v>164</v>
      </c>
      <c r="F166" s="5">
        <f t="shared" si="23"/>
        <v>164</v>
      </c>
      <c r="G166" s="8">
        <f t="shared" ca="1" si="30"/>
        <v>10.724834953249198</v>
      </c>
      <c r="H166" s="8">
        <f t="shared" ca="1" si="31"/>
        <v>571.7227817225139</v>
      </c>
      <c r="I166" s="8">
        <f t="shared" ca="1" si="25"/>
        <v>2.8689112689005549</v>
      </c>
      <c r="J166" s="8">
        <f t="shared" si="32"/>
        <v>1000</v>
      </c>
      <c r="K166" s="8">
        <f t="shared" ca="1" si="27"/>
        <v>1.7490994446419503</v>
      </c>
      <c r="L166" s="8">
        <f t="shared" ca="1" si="28"/>
        <v>50</v>
      </c>
      <c r="M166" s="8">
        <f t="shared" ca="1" si="29"/>
        <v>87.454972232097518</v>
      </c>
      <c r="N166" s="8">
        <f t="shared" ca="1" si="22"/>
        <v>0.87454972232097516</v>
      </c>
    </row>
    <row r="167" spans="1:14" s="5" customFormat="1" ht="13.2" x14ac:dyDescent="0.3">
      <c r="A167" s="6"/>
      <c r="E167" s="5">
        <v>165</v>
      </c>
      <c r="F167" s="5">
        <f t="shared" si="23"/>
        <v>165</v>
      </c>
      <c r="G167" s="8">
        <f t="shared" ca="1" si="30"/>
        <v>0</v>
      </c>
      <c r="H167" s="8">
        <f t="shared" ca="1" si="31"/>
        <v>579.57870540686258</v>
      </c>
      <c r="I167" s="8">
        <f t="shared" ca="1" si="25"/>
        <v>0</v>
      </c>
      <c r="J167" s="8">
        <f t="shared" si="32"/>
        <v>1600</v>
      </c>
      <c r="K167" s="8">
        <f t="shared" ca="1" si="27"/>
        <v>2.7606259254759964</v>
      </c>
      <c r="L167" s="8">
        <f t="shared" ca="1" si="28"/>
        <v>50</v>
      </c>
      <c r="M167" s="8">
        <f t="shared" ca="1" si="29"/>
        <v>138.03129627379982</v>
      </c>
      <c r="N167" s="8">
        <f t="shared" ca="1" si="22"/>
        <v>1.3803129627379982</v>
      </c>
    </row>
    <row r="168" spans="1:14" s="5" customFormat="1" ht="13.2" x14ac:dyDescent="0.3">
      <c r="A168" s="6"/>
      <c r="E168" s="5">
        <v>166</v>
      </c>
      <c r="F168" s="5">
        <f t="shared" si="23"/>
        <v>166</v>
      </c>
      <c r="G168" s="8">
        <f t="shared" ca="1" si="30"/>
        <v>0</v>
      </c>
      <c r="H168" s="8">
        <f t="shared" ca="1" si="31"/>
        <v>579.57870540686258</v>
      </c>
      <c r="I168" s="8">
        <f t="shared" ca="1" si="25"/>
        <v>3.1831482162745033</v>
      </c>
      <c r="J168" s="8">
        <f t="shared" si="32"/>
        <v>1000</v>
      </c>
      <c r="K168" s="8">
        <f t="shared" ca="1" si="27"/>
        <v>1.7253912034224979</v>
      </c>
      <c r="L168" s="8">
        <f t="shared" ca="1" si="28"/>
        <v>50</v>
      </c>
      <c r="M168" s="8">
        <f t="shared" ca="1" si="29"/>
        <v>86.269560171124894</v>
      </c>
      <c r="N168" s="8">
        <f t="shared" ca="1" si="22"/>
        <v>0.86269560171124893</v>
      </c>
    </row>
    <row r="169" spans="1:14" s="5" customFormat="1" ht="13.2" x14ac:dyDescent="0.3">
      <c r="A169" s="6"/>
      <c r="E169" s="5">
        <v>167</v>
      </c>
      <c r="F169" s="5">
        <f t="shared" si="23"/>
        <v>167</v>
      </c>
      <c r="G169" s="8">
        <f t="shared" ca="1" si="30"/>
        <v>11.760102651675265</v>
      </c>
      <c r="H169" s="8">
        <f t="shared" ca="1" si="31"/>
        <v>576.39555719058808</v>
      </c>
      <c r="I169" s="8">
        <f t="shared" ca="1" si="25"/>
        <v>3.0558222876235246</v>
      </c>
      <c r="J169" s="8">
        <f t="shared" si="32"/>
        <v>1000</v>
      </c>
      <c r="K169" s="8">
        <f t="shared" ca="1" si="27"/>
        <v>1.7349196875737629</v>
      </c>
      <c r="L169" s="8">
        <f t="shared" ca="1" si="28"/>
        <v>49.999999999999993</v>
      </c>
      <c r="M169" s="8">
        <f t="shared" ca="1" si="29"/>
        <v>86.745984378688135</v>
      </c>
      <c r="N169" s="8">
        <f t="shared" ca="1" si="22"/>
        <v>0.86745984378688135</v>
      </c>
    </row>
    <row r="170" spans="1:14" s="5" customFormat="1" ht="13.2" x14ac:dyDescent="0.3">
      <c r="A170" s="6"/>
      <c r="E170" s="5">
        <v>168</v>
      </c>
      <c r="F170" s="5">
        <f t="shared" si="23"/>
        <v>168</v>
      </c>
      <c r="G170" s="8">
        <f t="shared" ca="1" si="30"/>
        <v>0</v>
      </c>
      <c r="H170" s="8">
        <f t="shared" ca="1" si="31"/>
        <v>585.09983755463986</v>
      </c>
      <c r="I170" s="8">
        <f t="shared" ca="1" si="25"/>
        <v>0</v>
      </c>
      <c r="J170" s="8">
        <f t="shared" si="32"/>
        <v>1600</v>
      </c>
      <c r="K170" s="8">
        <f t="shared" ca="1" si="27"/>
        <v>2.7345760454951127</v>
      </c>
      <c r="L170" s="8">
        <f t="shared" ca="1" si="28"/>
        <v>50</v>
      </c>
      <c r="M170" s="8">
        <f t="shared" ca="1" si="29"/>
        <v>136.72880227475562</v>
      </c>
      <c r="N170" s="8">
        <f t="shared" ca="1" si="22"/>
        <v>1.3672880227475561</v>
      </c>
    </row>
    <row r="171" spans="1:14" s="5" customFormat="1" ht="13.2" x14ac:dyDescent="0.3">
      <c r="A171" s="6"/>
      <c r="E171" s="5">
        <v>169</v>
      </c>
      <c r="F171" s="5">
        <f t="shared" si="23"/>
        <v>169</v>
      </c>
      <c r="G171" s="8">
        <f t="shared" ca="1" si="30"/>
        <v>0</v>
      </c>
      <c r="H171" s="8">
        <f t="shared" ca="1" si="31"/>
        <v>585.09983755463986</v>
      </c>
      <c r="I171" s="8">
        <f t="shared" ca="1" si="25"/>
        <v>3.4039935021855943</v>
      </c>
      <c r="J171" s="8">
        <f t="shared" si="32"/>
        <v>1000</v>
      </c>
      <c r="K171" s="8">
        <f t="shared" ca="1" si="27"/>
        <v>1.7091100284344456</v>
      </c>
      <c r="L171" s="8">
        <f t="shared" ca="1" si="28"/>
        <v>50</v>
      </c>
      <c r="M171" s="8">
        <f t="shared" ca="1" si="29"/>
        <v>85.455501421722275</v>
      </c>
      <c r="N171" s="8">
        <f t="shared" ca="1" si="22"/>
        <v>0.8545550142172228</v>
      </c>
    </row>
    <row r="172" spans="1:14" s="5" customFormat="1" ht="13.2" x14ac:dyDescent="0.3">
      <c r="A172" s="6"/>
      <c r="E172" s="5">
        <v>170</v>
      </c>
      <c r="F172" s="5">
        <f t="shared" si="23"/>
        <v>170</v>
      </c>
      <c r="G172" s="8">
        <f t="shared" ca="1" si="30"/>
        <v>11.409388882139947</v>
      </c>
      <c r="H172" s="8">
        <f t="shared" ca="1" si="31"/>
        <v>581.69584405245428</v>
      </c>
      <c r="I172" s="8">
        <f t="shared" ca="1" si="25"/>
        <v>3.2678337620981726</v>
      </c>
      <c r="J172" s="8">
        <f t="shared" si="32"/>
        <v>1000</v>
      </c>
      <c r="K172" s="8">
        <f t="shared" ca="1" si="27"/>
        <v>1.7191114741913565</v>
      </c>
      <c r="L172" s="8">
        <f t="shared" ca="1" si="28"/>
        <v>49.999999999999993</v>
      </c>
      <c r="M172" s="8">
        <f t="shared" ca="1" si="29"/>
        <v>85.955573709567815</v>
      </c>
      <c r="N172" s="8">
        <f t="shared" ca="1" si="22"/>
        <v>0.85955573709567812</v>
      </c>
    </row>
    <row r="173" spans="1:14" s="5" customFormat="1" ht="13.2" x14ac:dyDescent="0.3">
      <c r="A173" s="6"/>
      <c r="E173" s="5">
        <v>171</v>
      </c>
      <c r="F173" s="5">
        <f t="shared" si="23"/>
        <v>171</v>
      </c>
      <c r="G173" s="8">
        <f t="shared" ca="1" si="30"/>
        <v>0</v>
      </c>
      <c r="H173" s="8">
        <f t="shared" ca="1" si="31"/>
        <v>589.83739917249602</v>
      </c>
      <c r="I173" s="8">
        <f t="shared" ca="1" si="25"/>
        <v>0</v>
      </c>
      <c r="J173" s="8">
        <f t="shared" si="32"/>
        <v>1600</v>
      </c>
      <c r="K173" s="8">
        <f t="shared" ca="1" si="27"/>
        <v>2.7126119880575517</v>
      </c>
      <c r="L173" s="8">
        <f t="shared" ca="1" si="28"/>
        <v>50</v>
      </c>
      <c r="M173" s="8">
        <f t="shared" ca="1" si="29"/>
        <v>135.63059940287758</v>
      </c>
      <c r="N173" s="8">
        <f t="shared" ca="1" si="22"/>
        <v>1.3563059940287758</v>
      </c>
    </row>
    <row r="174" spans="1:14" s="5" customFormat="1" ht="13.2" x14ac:dyDescent="0.3">
      <c r="A174" s="6"/>
      <c r="E174" s="5">
        <v>172</v>
      </c>
      <c r="F174" s="5">
        <f t="shared" si="23"/>
        <v>172</v>
      </c>
      <c r="G174" s="8">
        <f t="shared" ca="1" si="30"/>
        <v>0</v>
      </c>
      <c r="H174" s="8">
        <f t="shared" ca="1" si="31"/>
        <v>589.83739917249602</v>
      </c>
      <c r="I174" s="8">
        <f t="shared" ca="1" si="25"/>
        <v>3.5934959668998401</v>
      </c>
      <c r="J174" s="8">
        <f t="shared" si="32"/>
        <v>1000</v>
      </c>
      <c r="K174" s="8">
        <f t="shared" ca="1" si="27"/>
        <v>1.6953824925359697</v>
      </c>
      <c r="L174" s="8">
        <f t="shared" ca="1" si="28"/>
        <v>50</v>
      </c>
      <c r="M174" s="8">
        <f t="shared" ca="1" si="29"/>
        <v>84.769124626798487</v>
      </c>
      <c r="N174" s="8">
        <f t="shared" ca="1" si="22"/>
        <v>0.84769124626798487</v>
      </c>
    </row>
    <row r="175" spans="1:14" s="5" customFormat="1" ht="13.2" x14ac:dyDescent="0.3">
      <c r="A175" s="6"/>
      <c r="E175" s="5">
        <v>173</v>
      </c>
      <c r="F175" s="5">
        <f t="shared" si="23"/>
        <v>173</v>
      </c>
      <c r="G175" s="8">
        <f t="shared" ca="1" si="30"/>
        <v>11.018640682426684</v>
      </c>
      <c r="H175" s="8">
        <f t="shared" ca="1" si="31"/>
        <v>586.24390320559621</v>
      </c>
      <c r="I175" s="8">
        <f t="shared" ca="1" si="25"/>
        <v>3.4497561282238496</v>
      </c>
      <c r="J175" s="8">
        <f t="shared" si="32"/>
        <v>1000</v>
      </c>
      <c r="K175" s="8">
        <f t="shared" ca="1" si="27"/>
        <v>1.7057746690958748</v>
      </c>
      <c r="L175" s="8">
        <f t="shared" ca="1" si="28"/>
        <v>50</v>
      </c>
      <c r="M175" s="8">
        <f t="shared" ca="1" si="29"/>
        <v>85.288733454793743</v>
      </c>
      <c r="N175" s="8">
        <f t="shared" ca="1" si="22"/>
        <v>0.85288733454793741</v>
      </c>
    </row>
    <row r="176" spans="1:14" s="5" customFormat="1" ht="13.2" x14ac:dyDescent="0.3">
      <c r="A176" s="6"/>
      <c r="E176" s="5">
        <v>174</v>
      </c>
      <c r="F176" s="5">
        <f t="shared" si="23"/>
        <v>174</v>
      </c>
      <c r="G176" s="8">
        <f t="shared" ca="1" si="30"/>
        <v>0</v>
      </c>
      <c r="H176" s="8">
        <f t="shared" ca="1" si="31"/>
        <v>593.81278775979899</v>
      </c>
      <c r="I176" s="8">
        <f t="shared" ca="1" si="25"/>
        <v>0</v>
      </c>
      <c r="J176" s="8">
        <f t="shared" si="32"/>
        <v>1600</v>
      </c>
      <c r="K176" s="8">
        <f t="shared" ca="1" si="27"/>
        <v>2.6944519097274982</v>
      </c>
      <c r="L176" s="8">
        <f t="shared" ca="1" si="28"/>
        <v>50</v>
      </c>
      <c r="M176" s="8">
        <f t="shared" ca="1" si="29"/>
        <v>134.7225954863749</v>
      </c>
      <c r="N176" s="8">
        <f t="shared" ca="1" si="22"/>
        <v>1.3472259548637491</v>
      </c>
    </row>
    <row r="177" spans="1:14" s="5" customFormat="1" ht="13.2" x14ac:dyDescent="0.3">
      <c r="A177" s="6"/>
      <c r="E177" s="5">
        <v>175</v>
      </c>
      <c r="F177" s="5">
        <f t="shared" si="23"/>
        <v>175</v>
      </c>
      <c r="G177" s="8">
        <f t="shared" ca="1" si="30"/>
        <v>0</v>
      </c>
      <c r="H177" s="8">
        <f t="shared" ca="1" si="31"/>
        <v>593.81278775979899</v>
      </c>
      <c r="I177" s="8">
        <f t="shared" ca="1" si="25"/>
        <v>15.752511510391964</v>
      </c>
      <c r="J177" s="8">
        <f t="shared" si="32"/>
        <v>400</v>
      </c>
      <c r="K177" s="8">
        <f t="shared" ca="1" si="27"/>
        <v>0.67361297743187454</v>
      </c>
      <c r="L177" s="8">
        <f t="shared" ca="1" si="28"/>
        <v>50</v>
      </c>
      <c r="M177" s="8">
        <f t="shared" ca="1" si="29"/>
        <v>33.680648871593725</v>
      </c>
      <c r="N177" s="8">
        <f t="shared" ca="1" si="22"/>
        <v>0.33680648871593727</v>
      </c>
    </row>
    <row r="178" spans="1:14" s="5" customFormat="1" ht="13.2" x14ac:dyDescent="0.3">
      <c r="A178" s="6"/>
      <c r="E178" s="5">
        <v>176</v>
      </c>
      <c r="F178" s="5">
        <f t="shared" si="23"/>
        <v>176</v>
      </c>
      <c r="G178" s="8">
        <f t="shared" ca="1" si="30"/>
        <v>10.689179820863275</v>
      </c>
      <c r="H178" s="8">
        <f t="shared" ca="1" si="31"/>
        <v>578.06027624940702</v>
      </c>
      <c r="I178" s="8">
        <f t="shared" ca="1" si="25"/>
        <v>3.1224110499762796</v>
      </c>
      <c r="J178" s="8">
        <f t="shared" si="32"/>
        <v>1000</v>
      </c>
      <c r="K178" s="8">
        <f t="shared" ca="1" si="27"/>
        <v>1.7299234026047223</v>
      </c>
      <c r="L178" s="8">
        <f t="shared" ca="1" si="28"/>
        <v>50</v>
      </c>
      <c r="M178" s="8">
        <f t="shared" ca="1" si="29"/>
        <v>86.496170130236123</v>
      </c>
      <c r="N178" s="8">
        <f t="shared" ca="1" si="22"/>
        <v>0.86496170130236127</v>
      </c>
    </row>
    <row r="179" spans="1:14" s="5" customFormat="1" ht="13.2" x14ac:dyDescent="0.3">
      <c r="A179" s="6"/>
      <c r="E179" s="5">
        <v>177</v>
      </c>
      <c r="F179" s="5">
        <f t="shared" si="23"/>
        <v>177</v>
      </c>
      <c r="G179" s="8">
        <f t="shared" ca="1" si="30"/>
        <v>0</v>
      </c>
      <c r="H179" s="8">
        <f t="shared" ca="1" si="31"/>
        <v>585.62704502029408</v>
      </c>
      <c r="I179" s="8">
        <f t="shared" ca="1" si="25"/>
        <v>0</v>
      </c>
      <c r="J179" s="8">
        <f t="shared" si="32"/>
        <v>1600</v>
      </c>
      <c r="K179" s="8">
        <f t="shared" ca="1" si="27"/>
        <v>2.7321142587336524</v>
      </c>
      <c r="L179" s="8">
        <f t="shared" ca="1" si="28"/>
        <v>50</v>
      </c>
      <c r="M179" s="8">
        <f t="shared" ca="1" si="29"/>
        <v>136.60571293668261</v>
      </c>
      <c r="N179" s="8">
        <f t="shared" ca="1" si="22"/>
        <v>1.366057129366826</v>
      </c>
    </row>
    <row r="180" spans="1:14" s="5" customFormat="1" ht="13.2" x14ac:dyDescent="0.3">
      <c r="A180" s="6"/>
      <c r="E180" s="5">
        <v>178</v>
      </c>
      <c r="F180" s="5">
        <f t="shared" si="23"/>
        <v>178</v>
      </c>
      <c r="G180" s="8">
        <f t="shared" ca="1" si="30"/>
        <v>0</v>
      </c>
      <c r="H180" s="8">
        <f t="shared" ca="1" si="31"/>
        <v>585.62704502029408</v>
      </c>
      <c r="I180" s="8">
        <f t="shared" ca="1" si="25"/>
        <v>3.4250818008117627</v>
      </c>
      <c r="J180" s="8">
        <f t="shared" si="32"/>
        <v>1000</v>
      </c>
      <c r="K180" s="8">
        <f t="shared" ca="1" si="27"/>
        <v>1.7075714117085328</v>
      </c>
      <c r="L180" s="8">
        <f t="shared" ca="1" si="28"/>
        <v>50</v>
      </c>
      <c r="M180" s="8">
        <f t="shared" ca="1" si="29"/>
        <v>85.378570585426644</v>
      </c>
      <c r="N180" s="8">
        <f t="shared" ca="1" si="22"/>
        <v>0.85378570585426639</v>
      </c>
    </row>
    <row r="181" spans="1:14" s="5" customFormat="1" ht="13.2" x14ac:dyDescent="0.3">
      <c r="A181" s="6"/>
      <c r="E181" s="5">
        <v>179</v>
      </c>
      <c r="F181" s="5">
        <f t="shared" si="23"/>
        <v>179</v>
      </c>
      <c r="G181" s="8">
        <f t="shared" ca="1" si="30"/>
        <v>10.416778645912473</v>
      </c>
      <c r="H181" s="8">
        <f t="shared" ca="1" si="31"/>
        <v>582.20196321948231</v>
      </c>
      <c r="I181" s="8">
        <f t="shared" ca="1" si="25"/>
        <v>3.2880785287792915</v>
      </c>
      <c r="J181" s="8">
        <f t="shared" si="32"/>
        <v>1000</v>
      </c>
      <c r="K181" s="8">
        <f t="shared" ca="1" si="27"/>
        <v>1.7176170181051305</v>
      </c>
      <c r="L181" s="8">
        <f t="shared" ca="1" si="28"/>
        <v>50</v>
      </c>
      <c r="M181" s="8">
        <f t="shared" ca="1" si="29"/>
        <v>85.880850905256523</v>
      </c>
      <c r="N181" s="8">
        <f t="shared" ca="1" si="22"/>
        <v>0.85880850905256523</v>
      </c>
    </row>
    <row r="182" spans="1:14" s="5" customFormat="1" ht="13.2" x14ac:dyDescent="0.3">
      <c r="A182" s="6"/>
      <c r="E182" s="5">
        <v>180</v>
      </c>
      <c r="F182" s="5">
        <f t="shared" si="23"/>
        <v>180</v>
      </c>
      <c r="G182" s="8">
        <f t="shared" ca="1" si="30"/>
        <v>0</v>
      </c>
      <c r="H182" s="8">
        <f t="shared" ca="1" si="31"/>
        <v>589.33066333661554</v>
      </c>
      <c r="I182" s="8">
        <f t="shared" ca="1" si="25"/>
        <v>0</v>
      </c>
      <c r="J182" s="8">
        <f t="shared" si="32"/>
        <v>1600</v>
      </c>
      <c r="K182" s="8">
        <f t="shared" ca="1" si="27"/>
        <v>2.7149444268541436</v>
      </c>
      <c r="L182" s="8">
        <f t="shared" ca="1" si="28"/>
        <v>50</v>
      </c>
      <c r="M182" s="8">
        <f t="shared" ca="1" si="29"/>
        <v>135.74722134270718</v>
      </c>
      <c r="N182" s="8">
        <f t="shared" ca="1" si="22"/>
        <v>1.3574722134270718</v>
      </c>
    </row>
    <row r="183" spans="1:14" s="5" customFormat="1" ht="13.2" x14ac:dyDescent="0.3">
      <c r="A183" s="6"/>
      <c r="E183" s="5">
        <v>181</v>
      </c>
      <c r="F183" s="5">
        <f t="shared" si="23"/>
        <v>181</v>
      </c>
      <c r="G183" s="8">
        <f t="shared" ca="1" si="30"/>
        <v>0</v>
      </c>
      <c r="H183" s="8">
        <f t="shared" ca="1" si="31"/>
        <v>589.33066333661554</v>
      </c>
      <c r="I183" s="8">
        <f t="shared" ca="1" si="25"/>
        <v>3.5732265334646218</v>
      </c>
      <c r="J183" s="8">
        <f t="shared" si="32"/>
        <v>1000</v>
      </c>
      <c r="K183" s="8">
        <f t="shared" ca="1" si="27"/>
        <v>1.6968402667838398</v>
      </c>
      <c r="L183" s="8">
        <f t="shared" ca="1" si="28"/>
        <v>50</v>
      </c>
      <c r="M183" s="8">
        <f t="shared" ca="1" si="29"/>
        <v>84.842013339191993</v>
      </c>
      <c r="N183" s="8">
        <f t="shared" ca="1" si="22"/>
        <v>0.84842013339191991</v>
      </c>
    </row>
    <row r="184" spans="1:14" s="5" customFormat="1" ht="13.2" x14ac:dyDescent="0.3">
      <c r="A184" s="6"/>
      <c r="E184" s="5">
        <v>182</v>
      </c>
      <c r="F184" s="5">
        <f t="shared" si="23"/>
        <v>182</v>
      </c>
      <c r="G184" s="8">
        <f t="shared" ca="1" si="30"/>
        <v>4.3926855524019119</v>
      </c>
      <c r="H184" s="8">
        <f t="shared" ca="1" si="31"/>
        <v>585.75743680315088</v>
      </c>
      <c r="I184" s="8">
        <f t="shared" ca="1" si="25"/>
        <v>15.430297472126036</v>
      </c>
      <c r="J184" s="8">
        <f t="shared" si="32"/>
        <v>400</v>
      </c>
      <c r="K184" s="8">
        <f t="shared" ca="1" si="27"/>
        <v>0.68287651998590615</v>
      </c>
      <c r="L184" s="8">
        <f t="shared" ca="1" si="28"/>
        <v>50</v>
      </c>
      <c r="M184" s="8">
        <f t="shared" ca="1" si="29"/>
        <v>34.143825999295309</v>
      </c>
      <c r="N184" s="8">
        <f t="shared" ca="1" si="22"/>
        <v>0.34143825999295307</v>
      </c>
    </row>
    <row r="185" spans="1:14" s="5" customFormat="1" ht="13.2" x14ac:dyDescent="0.3">
      <c r="A185" s="6"/>
      <c r="E185" s="5">
        <v>183</v>
      </c>
      <c r="F185" s="5">
        <f t="shared" si="23"/>
        <v>183</v>
      </c>
      <c r="G185" s="8">
        <f t="shared" ca="1" si="30"/>
        <v>0</v>
      </c>
      <c r="H185" s="8">
        <f t="shared" ca="1" si="31"/>
        <v>574.71982488342678</v>
      </c>
      <c r="I185" s="8">
        <f t="shared" ca="1" si="25"/>
        <v>0</v>
      </c>
      <c r="J185" s="8">
        <f t="shared" si="32"/>
        <v>1600</v>
      </c>
      <c r="K185" s="8">
        <f t="shared" ca="1" si="27"/>
        <v>2.7839652135273667</v>
      </c>
      <c r="L185" s="8">
        <f t="shared" ca="1" si="28"/>
        <v>50</v>
      </c>
      <c r="M185" s="8">
        <f t="shared" ca="1" si="29"/>
        <v>139.19826067636833</v>
      </c>
      <c r="N185" s="8">
        <f t="shared" ca="1" si="22"/>
        <v>1.3919826067636833</v>
      </c>
    </row>
    <row r="186" spans="1:14" s="5" customFormat="1" ht="13.2" x14ac:dyDescent="0.3">
      <c r="A186" s="6"/>
      <c r="E186" s="5">
        <v>184</v>
      </c>
      <c r="F186" s="5">
        <f t="shared" si="23"/>
        <v>184</v>
      </c>
      <c r="G186" s="8">
        <f t="shared" ca="1" si="30"/>
        <v>0</v>
      </c>
      <c r="H186" s="8">
        <f t="shared" ca="1" si="31"/>
        <v>574.71982488342678</v>
      </c>
      <c r="I186" s="8">
        <f t="shared" ca="1" si="25"/>
        <v>2.9887929953370707</v>
      </c>
      <c r="J186" s="8">
        <f t="shared" si="32"/>
        <v>1000</v>
      </c>
      <c r="K186" s="8">
        <f t="shared" ca="1" si="27"/>
        <v>1.7399782584546042</v>
      </c>
      <c r="L186" s="8">
        <f t="shared" ca="1" si="28"/>
        <v>50</v>
      </c>
      <c r="M186" s="8">
        <f t="shared" ca="1" si="29"/>
        <v>86.998912922730213</v>
      </c>
      <c r="N186" s="8">
        <f t="shared" ca="1" si="22"/>
        <v>0.86998912922730209</v>
      </c>
    </row>
    <row r="187" spans="1:14" s="5" customFormat="1" ht="13.2" x14ac:dyDescent="0.3">
      <c r="A187" s="6"/>
      <c r="E187" s="5">
        <v>185</v>
      </c>
      <c r="F187" s="5">
        <f t="shared" si="23"/>
        <v>185</v>
      </c>
      <c r="G187" s="8">
        <f t="shared" ca="1" si="30"/>
        <v>10.724166402812154</v>
      </c>
      <c r="H187" s="8">
        <f t="shared" ca="1" si="31"/>
        <v>571.73103188808966</v>
      </c>
      <c r="I187" s="8">
        <f t="shared" ca="1" si="25"/>
        <v>2.8692412755235859</v>
      </c>
      <c r="J187" s="8">
        <f t="shared" si="32"/>
        <v>1000</v>
      </c>
      <c r="K187" s="8">
        <f t="shared" ca="1" si="27"/>
        <v>1.7490742048714605</v>
      </c>
      <c r="L187" s="8">
        <f t="shared" ca="1" si="28"/>
        <v>50</v>
      </c>
      <c r="M187" s="8">
        <f t="shared" ca="1" si="29"/>
        <v>87.453710243573028</v>
      </c>
      <c r="N187" s="8">
        <f t="shared" ca="1" si="22"/>
        <v>0.87453710243573024</v>
      </c>
    </row>
    <row r="188" spans="1:14" s="5" customFormat="1" ht="13.2" x14ac:dyDescent="0.3">
      <c r="A188" s="6"/>
      <c r="E188" s="5">
        <v>186</v>
      </c>
      <c r="F188" s="5">
        <f t="shared" si="23"/>
        <v>186</v>
      </c>
      <c r="G188" s="8">
        <f t="shared" ca="1" si="30"/>
        <v>0</v>
      </c>
      <c r="H188" s="8">
        <f t="shared" ca="1" si="31"/>
        <v>579.5859570153782</v>
      </c>
      <c r="I188" s="8">
        <f t="shared" ca="1" si="25"/>
        <v>0</v>
      </c>
      <c r="J188" s="8">
        <f t="shared" si="32"/>
        <v>1600</v>
      </c>
      <c r="K188" s="8">
        <f t="shared" ca="1" si="27"/>
        <v>2.7605913853388051</v>
      </c>
      <c r="L188" s="8">
        <f t="shared" ca="1" si="28"/>
        <v>50</v>
      </c>
      <c r="M188" s="8">
        <f t="shared" ca="1" si="29"/>
        <v>138.02956926694026</v>
      </c>
      <c r="N188" s="8">
        <f t="shared" ca="1" si="22"/>
        <v>1.3802956926694026</v>
      </c>
    </row>
    <row r="189" spans="1:14" s="5" customFormat="1" ht="13.2" x14ac:dyDescent="0.3">
      <c r="A189" s="6"/>
      <c r="E189" s="5">
        <v>187</v>
      </c>
      <c r="F189" s="5">
        <f t="shared" si="23"/>
        <v>187</v>
      </c>
      <c r="G189" s="8">
        <f t="shared" ca="1" si="30"/>
        <v>0</v>
      </c>
      <c r="H189" s="8">
        <f t="shared" ca="1" si="31"/>
        <v>579.5859570153782</v>
      </c>
      <c r="I189" s="8">
        <f t="shared" ca="1" si="25"/>
        <v>3.183438280615126</v>
      </c>
      <c r="J189" s="8">
        <f t="shared" si="32"/>
        <v>1000</v>
      </c>
      <c r="K189" s="8">
        <f t="shared" ca="1" si="27"/>
        <v>1.7253696158367531</v>
      </c>
      <c r="L189" s="8">
        <f t="shared" ca="1" si="28"/>
        <v>50</v>
      </c>
      <c r="M189" s="8">
        <f t="shared" ca="1" si="29"/>
        <v>86.268480791837661</v>
      </c>
      <c r="N189" s="8">
        <f t="shared" ca="1" si="22"/>
        <v>0.86268480791837665</v>
      </c>
    </row>
    <row r="190" spans="1:14" s="5" customFormat="1" ht="13.2" x14ac:dyDescent="0.3">
      <c r="A190" s="6"/>
      <c r="E190" s="5">
        <v>188</v>
      </c>
      <c r="F190" s="5">
        <f t="shared" si="23"/>
        <v>188</v>
      </c>
      <c r="G190" s="8">
        <f t="shared" ca="1" si="30"/>
        <v>11.7594782029105</v>
      </c>
      <c r="H190" s="8">
        <f t="shared" ca="1" si="31"/>
        <v>576.40251873476302</v>
      </c>
      <c r="I190" s="8">
        <f t="shared" ca="1" si="25"/>
        <v>3.0561007493905206</v>
      </c>
      <c r="J190" s="8">
        <f t="shared" si="32"/>
        <v>1000</v>
      </c>
      <c r="K190" s="8">
        <f t="shared" ca="1" si="27"/>
        <v>1.7348987339525477</v>
      </c>
      <c r="L190" s="8">
        <f t="shared" ca="1" si="28"/>
        <v>50</v>
      </c>
      <c r="M190" s="8">
        <f t="shared" ca="1" si="29"/>
        <v>86.744936697627381</v>
      </c>
      <c r="N190" s="8">
        <f t="shared" ca="1" si="22"/>
        <v>0.86744936697627384</v>
      </c>
    </row>
    <row r="191" spans="1:14" s="5" customFormat="1" ht="13.2" x14ac:dyDescent="0.3">
      <c r="A191" s="6"/>
      <c r="E191" s="5">
        <v>189</v>
      </c>
      <c r="F191" s="5">
        <f t="shared" si="23"/>
        <v>189</v>
      </c>
      <c r="G191" s="8">
        <f t="shared" ca="1" si="30"/>
        <v>0</v>
      </c>
      <c r="H191" s="8">
        <f t="shared" ca="1" si="31"/>
        <v>585.10589618828305</v>
      </c>
      <c r="I191" s="8">
        <f t="shared" ca="1" si="25"/>
        <v>0</v>
      </c>
      <c r="J191" s="8">
        <f t="shared" si="32"/>
        <v>1600</v>
      </c>
      <c r="K191" s="8">
        <f t="shared" ca="1" si="27"/>
        <v>2.7345477296047123</v>
      </c>
      <c r="L191" s="8">
        <f t="shared" ca="1" si="28"/>
        <v>50</v>
      </c>
      <c r="M191" s="8">
        <f t="shared" ca="1" si="29"/>
        <v>136.72738648023562</v>
      </c>
      <c r="N191" s="8">
        <f t="shared" ca="1" si="22"/>
        <v>1.3672738648023561</v>
      </c>
    </row>
    <row r="192" spans="1:14" s="5" customFormat="1" ht="13.2" x14ac:dyDescent="0.3">
      <c r="A192" s="6"/>
      <c r="E192" s="5">
        <v>190</v>
      </c>
      <c r="F192" s="5">
        <f t="shared" si="23"/>
        <v>190</v>
      </c>
      <c r="G192" s="8">
        <f t="shared" ca="1" si="30"/>
        <v>0</v>
      </c>
      <c r="H192" s="8">
        <f t="shared" ca="1" si="31"/>
        <v>585.10589618828305</v>
      </c>
      <c r="I192" s="8">
        <f t="shared" ca="1" si="25"/>
        <v>3.4042358475313215</v>
      </c>
      <c r="J192" s="8">
        <f t="shared" si="32"/>
        <v>1000</v>
      </c>
      <c r="K192" s="8">
        <f t="shared" ca="1" si="27"/>
        <v>1.7090923310029453</v>
      </c>
      <c r="L192" s="8">
        <f t="shared" ca="1" si="28"/>
        <v>50</v>
      </c>
      <c r="M192" s="8">
        <f t="shared" ca="1" si="29"/>
        <v>85.454616550147264</v>
      </c>
      <c r="N192" s="8">
        <f t="shared" ca="1" si="22"/>
        <v>0.85454616550147267</v>
      </c>
    </row>
    <row r="193" spans="1:14" s="5" customFormat="1" ht="13.2" x14ac:dyDescent="0.3">
      <c r="A193" s="6"/>
      <c r="E193" s="5">
        <v>191</v>
      </c>
      <c r="F193" s="5">
        <f t="shared" si="23"/>
        <v>191</v>
      </c>
      <c r="G193" s="8">
        <f t="shared" ca="1" si="30"/>
        <v>11.408870780082076</v>
      </c>
      <c r="H193" s="8">
        <f t="shared" ca="1" si="31"/>
        <v>581.70166034075169</v>
      </c>
      <c r="I193" s="8">
        <f t="shared" ca="1" si="25"/>
        <v>3.2680664136300672</v>
      </c>
      <c r="J193" s="8">
        <f t="shared" si="32"/>
        <v>1000</v>
      </c>
      <c r="K193" s="8">
        <f t="shared" ca="1" si="27"/>
        <v>1.7190942852289879</v>
      </c>
      <c r="L193" s="8">
        <f t="shared" ca="1" si="28"/>
        <v>50</v>
      </c>
      <c r="M193" s="8">
        <f t="shared" ca="1" si="29"/>
        <v>85.954714261449396</v>
      </c>
      <c r="N193" s="8">
        <f t="shared" ca="1" si="22"/>
        <v>0.85954714261449394</v>
      </c>
    </row>
    <row r="194" spans="1:14" s="5" customFormat="1" ht="13.2" x14ac:dyDescent="0.3">
      <c r="A194" s="6"/>
      <c r="E194" s="5">
        <v>192</v>
      </c>
      <c r="F194" s="5">
        <f t="shared" si="23"/>
        <v>192</v>
      </c>
      <c r="G194" s="8">
        <f t="shared" ca="1" si="30"/>
        <v>0</v>
      </c>
      <c r="H194" s="8">
        <f t="shared" ca="1" si="31"/>
        <v>589.8424647072037</v>
      </c>
      <c r="I194" s="8">
        <f t="shared" ca="1" si="25"/>
        <v>0</v>
      </c>
      <c r="J194" s="8">
        <f t="shared" si="32"/>
        <v>1600</v>
      </c>
      <c r="K194" s="8">
        <f t="shared" ca="1" si="27"/>
        <v>2.7125886922947062</v>
      </c>
      <c r="L194" s="8">
        <f t="shared" ca="1" si="28"/>
        <v>50</v>
      </c>
      <c r="M194" s="8">
        <f t="shared" ca="1" si="29"/>
        <v>135.62943461473532</v>
      </c>
      <c r="N194" s="8">
        <f t="shared" ref="N194:N202" ca="1" si="33">M194/$B$10</f>
        <v>1.3562943461473531</v>
      </c>
    </row>
    <row r="195" spans="1:14" s="5" customFormat="1" ht="13.2" x14ac:dyDescent="0.3">
      <c r="A195" s="6"/>
      <c r="E195" s="5">
        <v>193</v>
      </c>
      <c r="F195" s="5">
        <f t="shared" ref="F195:F202" si="34">E195*$B$2</f>
        <v>193</v>
      </c>
      <c r="G195" s="8">
        <f t="shared" ca="1" si="30"/>
        <v>0</v>
      </c>
      <c r="H195" s="8">
        <f t="shared" ref="H195:H202" ca="1" si="35">H194+(G194-I194)</f>
        <v>589.8424647072037</v>
      </c>
      <c r="I195" s="8">
        <f t="shared" ref="I195:I202" ca="1" si="36">H195*$B$5*$B$2*MAX(0,1-N195)</f>
        <v>3.5936985882881483</v>
      </c>
      <c r="J195" s="8">
        <f t="shared" ref="J195:J202" si="37">IF(MOD(F195,3)=0,$B$6+$B$6*$B$12,IF(MOD(F195,7)=0,$B$6-$B$6*$B$12,$B$6))</f>
        <v>1000</v>
      </c>
      <c r="K195" s="8">
        <f t="shared" ca="1" si="27"/>
        <v>1.6953679326841913</v>
      </c>
      <c r="L195" s="8">
        <f t="shared" ca="1" si="28"/>
        <v>50</v>
      </c>
      <c r="M195" s="8">
        <f t="shared" ca="1" si="29"/>
        <v>84.768396634209566</v>
      </c>
      <c r="N195" s="8">
        <f t="shared" ca="1" si="33"/>
        <v>0.84768396634209564</v>
      </c>
    </row>
    <row r="196" spans="1:14" s="5" customFormat="1" ht="13.2" x14ac:dyDescent="0.3">
      <c r="A196" s="6"/>
      <c r="E196" s="5">
        <v>194</v>
      </c>
      <c r="F196" s="5">
        <f t="shared" si="34"/>
        <v>194</v>
      </c>
      <c r="G196" s="8">
        <f t="shared" ca="1" si="30"/>
        <v>11.018215944070684</v>
      </c>
      <c r="H196" s="8">
        <f t="shared" ca="1" si="35"/>
        <v>586.24876611891557</v>
      </c>
      <c r="I196" s="8">
        <f t="shared" ca="1" si="36"/>
        <v>3.4499506447566186</v>
      </c>
      <c r="J196" s="8">
        <f t="shared" si="37"/>
        <v>1000</v>
      </c>
      <c r="K196" s="8">
        <f t="shared" ref="K196:K202" ca="1" si="38">MIN($B$11,J196/H196)</f>
        <v>1.7057605197537566</v>
      </c>
      <c r="L196" s="8">
        <f t="shared" ref="L196:L202" ca="1" si="39">$B$8*(J196/(H196*K196))</f>
        <v>50.000000000000014</v>
      </c>
      <c r="M196" s="8">
        <f t="shared" ref="M196:M202" ca="1" si="40">K196*L196</f>
        <v>85.28802598768786</v>
      </c>
      <c r="N196" s="8">
        <f t="shared" ca="1" si="33"/>
        <v>0.85288025987687854</v>
      </c>
    </row>
    <row r="197" spans="1:14" s="5" customFormat="1" ht="13.2" x14ac:dyDescent="0.3">
      <c r="A197" s="6"/>
      <c r="E197" s="5">
        <v>195</v>
      </c>
      <c r="F197" s="5">
        <f t="shared" si="34"/>
        <v>195</v>
      </c>
      <c r="G197" s="8">
        <f t="shared" ca="1" si="30"/>
        <v>0</v>
      </c>
      <c r="H197" s="8">
        <f t="shared" ca="1" si="35"/>
        <v>593.81703141822959</v>
      </c>
      <c r="I197" s="8">
        <f t="shared" ca="1" si="36"/>
        <v>0</v>
      </c>
      <c r="J197" s="8">
        <f t="shared" si="37"/>
        <v>1600</v>
      </c>
      <c r="K197" s="8">
        <f t="shared" ca="1" si="38"/>
        <v>2.6944326540764179</v>
      </c>
      <c r="L197" s="8">
        <f t="shared" ca="1" si="39"/>
        <v>50</v>
      </c>
      <c r="M197" s="8">
        <f t="shared" ca="1" si="40"/>
        <v>134.72163270382089</v>
      </c>
      <c r="N197" s="8">
        <f t="shared" ca="1" si="33"/>
        <v>1.3472163270382089</v>
      </c>
    </row>
    <row r="198" spans="1:14" s="5" customFormat="1" ht="13.2" x14ac:dyDescent="0.3">
      <c r="A198" s="6"/>
      <c r="E198" s="5">
        <v>196</v>
      </c>
      <c r="F198" s="5">
        <f t="shared" si="34"/>
        <v>196</v>
      </c>
      <c r="G198" s="8">
        <f t="shared" ca="1" si="30"/>
        <v>0</v>
      </c>
      <c r="H198" s="8">
        <f t="shared" ca="1" si="35"/>
        <v>593.81703141822959</v>
      </c>
      <c r="I198" s="8">
        <f t="shared" ca="1" si="36"/>
        <v>15.752681256729183</v>
      </c>
      <c r="J198" s="8">
        <f t="shared" si="37"/>
        <v>400</v>
      </c>
      <c r="K198" s="8">
        <f t="shared" ca="1" si="38"/>
        <v>0.67360816351910446</v>
      </c>
      <c r="L198" s="8">
        <f t="shared" ca="1" si="39"/>
        <v>50</v>
      </c>
      <c r="M198" s="8">
        <f t="shared" ca="1" si="40"/>
        <v>33.680408175955222</v>
      </c>
      <c r="N198" s="8">
        <f t="shared" ca="1" si="33"/>
        <v>0.33680408175955223</v>
      </c>
    </row>
    <row r="199" spans="1:14" s="5" customFormat="1" ht="13.2" x14ac:dyDescent="0.3">
      <c r="A199" s="6"/>
      <c r="E199" s="5">
        <v>197</v>
      </c>
      <c r="F199" s="5">
        <f t="shared" si="34"/>
        <v>197</v>
      </c>
      <c r="G199" s="8">
        <f t="shared" ca="1" si="30"/>
        <v>10.688830384420594</v>
      </c>
      <c r="H199" s="8">
        <f t="shared" ca="1" si="35"/>
        <v>578.06435016150044</v>
      </c>
      <c r="I199" s="8">
        <f t="shared" ca="1" si="36"/>
        <v>3.1225740064600189</v>
      </c>
      <c r="J199" s="8">
        <f t="shared" si="37"/>
        <v>1000</v>
      </c>
      <c r="K199" s="8">
        <f t="shared" ca="1" si="38"/>
        <v>1.7299112109588122</v>
      </c>
      <c r="L199" s="8">
        <f t="shared" ca="1" si="39"/>
        <v>49.999999999999993</v>
      </c>
      <c r="M199" s="8">
        <f t="shared" ca="1" si="40"/>
        <v>86.495560547940599</v>
      </c>
      <c r="N199" s="8">
        <f t="shared" ca="1" si="33"/>
        <v>0.86495560547940598</v>
      </c>
    </row>
    <row r="200" spans="1:14" s="5" customFormat="1" ht="13.2" x14ac:dyDescent="0.3">
      <c r="A200" s="6"/>
      <c r="E200" s="5">
        <v>198</v>
      </c>
      <c r="F200" s="5">
        <f t="shared" si="34"/>
        <v>198</v>
      </c>
      <c r="G200" s="8">
        <f t="shared" ref="G200:G202" ca="1" si="41">MAX(0,IF(OFFSET(N200,-$B$13,0)&gt;=1,J200*$B$4*$B$2*(OFFSET(N200,-$B$13,0)-1),0))</f>
        <v>0</v>
      </c>
      <c r="H200" s="8">
        <f t="shared" ca="1" si="35"/>
        <v>585.63060653946104</v>
      </c>
      <c r="I200" s="8">
        <f t="shared" ca="1" si="36"/>
        <v>0</v>
      </c>
      <c r="J200" s="8">
        <f t="shared" si="37"/>
        <v>1600</v>
      </c>
      <c r="K200" s="8">
        <f t="shared" ca="1" si="38"/>
        <v>2.7320976433498418</v>
      </c>
      <c r="L200" s="8">
        <f t="shared" ca="1" si="39"/>
        <v>50</v>
      </c>
      <c r="M200" s="8">
        <f t="shared" ca="1" si="40"/>
        <v>136.60488216749209</v>
      </c>
      <c r="N200" s="8">
        <f t="shared" ca="1" si="33"/>
        <v>1.3660488216749209</v>
      </c>
    </row>
    <row r="201" spans="1:14" s="5" customFormat="1" ht="13.2" x14ac:dyDescent="0.3">
      <c r="A201" s="6"/>
      <c r="E201" s="5">
        <v>199</v>
      </c>
      <c r="F201" s="5">
        <f t="shared" si="34"/>
        <v>199</v>
      </c>
      <c r="G201" s="8">
        <f t="shared" ca="1" si="41"/>
        <v>0</v>
      </c>
      <c r="H201" s="8">
        <f t="shared" ca="1" si="35"/>
        <v>585.63060653946104</v>
      </c>
      <c r="I201" s="8">
        <f t="shared" ca="1" si="36"/>
        <v>3.4252242615784438</v>
      </c>
      <c r="J201" s="8">
        <f t="shared" si="37"/>
        <v>1000</v>
      </c>
      <c r="K201" s="8">
        <f t="shared" ca="1" si="38"/>
        <v>1.7075610270936512</v>
      </c>
      <c r="L201" s="8">
        <f t="shared" ca="1" si="39"/>
        <v>50</v>
      </c>
      <c r="M201" s="8">
        <f t="shared" ca="1" si="40"/>
        <v>85.378051354682555</v>
      </c>
      <c r="N201" s="8">
        <f t="shared" ca="1" si="33"/>
        <v>0.85378051354682549</v>
      </c>
    </row>
    <row r="202" spans="1:14" s="5" customFormat="1" ht="13.2" x14ac:dyDescent="0.3">
      <c r="A202" s="6"/>
      <c r="E202" s="5">
        <v>200</v>
      </c>
      <c r="F202" s="5">
        <f t="shared" si="34"/>
        <v>200</v>
      </c>
      <c r="G202" s="8">
        <f t="shared" ca="1" si="41"/>
        <v>10.416489811146267</v>
      </c>
      <c r="H202" s="8">
        <f t="shared" ca="1" si="35"/>
        <v>582.20538227788256</v>
      </c>
      <c r="I202" s="8">
        <f t="shared" ca="1" si="36"/>
        <v>3.2882152911153035</v>
      </c>
      <c r="J202" s="8">
        <f t="shared" si="37"/>
        <v>1000</v>
      </c>
      <c r="K202" s="8">
        <f t="shared" ca="1" si="38"/>
        <v>1.7176069312301667</v>
      </c>
      <c r="L202" s="8">
        <f t="shared" ca="1" si="39"/>
        <v>50</v>
      </c>
      <c r="M202" s="8">
        <f t="shared" ca="1" si="40"/>
        <v>85.880346561508333</v>
      </c>
      <c r="N202" s="8">
        <f t="shared" ca="1" si="33"/>
        <v>0.85880346561508336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2"/>
  <sheetViews>
    <sheetView zoomScale="80" zoomScaleNormal="80" workbookViewId="0"/>
  </sheetViews>
  <sheetFormatPr defaultRowHeight="14.4" x14ac:dyDescent="0.3"/>
  <cols>
    <col min="1" max="1" width="23.5546875" style="11" customWidth="1"/>
    <col min="2" max="2" width="4.5546875" style="11" customWidth="1"/>
    <col min="3" max="3" width="9.44140625" style="11" customWidth="1"/>
    <col min="4" max="6" width="3.88671875" style="11" customWidth="1"/>
    <col min="7" max="7" width="8.88671875" style="11"/>
    <col min="8" max="8" width="10" style="11" customWidth="1"/>
    <col min="9" max="9" width="8.88671875" style="11"/>
    <col min="10" max="10" width="12" style="11" customWidth="1"/>
    <col min="11" max="12" width="8.88671875" style="11"/>
    <col min="13" max="13" width="11.5546875" style="11" customWidth="1"/>
    <col min="14" max="14" width="8.33203125" style="11" customWidth="1"/>
    <col min="15" max="16384" width="8.88671875" style="11"/>
  </cols>
  <sheetData>
    <row r="1" spans="1:19" s="5" customFormat="1" ht="53.4" customHeight="1" x14ac:dyDescent="0.3">
      <c r="A1" s="4" t="s">
        <v>39</v>
      </c>
      <c r="G1" s="5" t="s">
        <v>17</v>
      </c>
      <c r="H1" s="5" t="s">
        <v>30</v>
      </c>
      <c r="I1" s="5" t="s">
        <v>19</v>
      </c>
      <c r="J1" s="5" t="s">
        <v>31</v>
      </c>
      <c r="K1" s="5" t="s">
        <v>22</v>
      </c>
      <c r="L1" s="5" t="s">
        <v>23</v>
      </c>
      <c r="M1" s="5" t="s">
        <v>35</v>
      </c>
      <c r="N1" s="5" t="s">
        <v>24</v>
      </c>
    </row>
    <row r="2" spans="1:19" s="5" customFormat="1" ht="15.6" customHeight="1" x14ac:dyDescent="0.3">
      <c r="A2" s="6" t="s">
        <v>0</v>
      </c>
      <c r="B2" s="7">
        <f>Model_1!B2</f>
        <v>1</v>
      </c>
      <c r="C2" s="5" t="s">
        <v>2</v>
      </c>
      <c r="E2" s="5">
        <v>0</v>
      </c>
      <c r="F2" s="5">
        <f>E2*$B$2</f>
        <v>0</v>
      </c>
      <c r="G2" s="8">
        <v>0</v>
      </c>
      <c r="H2" s="8">
        <f>B3</f>
        <v>300</v>
      </c>
      <c r="I2" s="8">
        <v>0</v>
      </c>
      <c r="J2" s="8">
        <f>IF(F2&lt;=10,$B$6,IF(F2&lt;=20,$B$6-$B$6*$B$12,IF(F2&lt;=30,$B$6+$B$6*$B$12,IF(F2&lt;=40,$B$6-$B$6*$B$12,IF(F2&lt;=50,$B$6+$B$6*$B$12,IF(F2&lt;=60,$B$6-$B$6*$B$12,IF(F2&lt;=70,$B$6+$B$6*$B$12,IF(F2&lt;=80,$B$6-$B$6*$B$12,IF(F2&lt;=90,$B$6+$B$6*$B$12,IF(F2&lt;=100,$B$6-$B$6*$B$12,IF(F2&lt;=110,$B$6+$B$6*$B$12,IF(F2&lt;=120,$B$6-$B$6*$B$12,IF(F2&lt;=130,$B$6+$B$6*$B$12,IF(F2&lt;=140,$B$6-$B$6*$B$12,IF(F2&lt;=150,$B$6+$B$6*$B$12,IF(F2&lt;=160,$B$6-$B$6*$B$12,IF(F2&lt;=170,$B$6+$B$6*$B$12,IF(F2&lt;=180,$B$6-$B$6*$B$12,IF(F2&lt;=190,$B$6+$B$6*$B$12,IF(F2&lt;=200,$B$6-$B$6*$B$12,$B$6))))))))))))))))))))</f>
        <v>1000</v>
      </c>
      <c r="K2" s="8">
        <v>0</v>
      </c>
      <c r="L2" s="8">
        <v>0</v>
      </c>
      <c r="M2" s="8">
        <f>K2*L2</f>
        <v>0</v>
      </c>
      <c r="N2" s="8">
        <f t="shared" ref="N2:N65" si="0">M2/$B$10</f>
        <v>0</v>
      </c>
      <c r="O2" s="8"/>
      <c r="P2" s="8"/>
      <c r="Q2" s="8"/>
      <c r="R2" s="8"/>
      <c r="S2" s="8"/>
    </row>
    <row r="3" spans="1:19" s="5" customFormat="1" ht="15.6" customHeight="1" x14ac:dyDescent="0.3">
      <c r="A3" s="6" t="s">
        <v>7</v>
      </c>
      <c r="B3" s="7">
        <f>Model_1!B3</f>
        <v>300</v>
      </c>
      <c r="C3" s="5" t="s">
        <v>3</v>
      </c>
      <c r="E3" s="5">
        <v>1</v>
      </c>
      <c r="F3" s="5">
        <f t="shared" ref="F3:F66" si="1">E3*$B$2</f>
        <v>1</v>
      </c>
      <c r="G3" s="8">
        <f>MAX(0,IF(N3&gt;=1,J3*$B$4*$B$2*(N3-1),0))</f>
        <v>20.000000000000007</v>
      </c>
      <c r="H3" s="8">
        <f>H2+(G2-I2)</f>
        <v>300</v>
      </c>
      <c r="I3" s="8">
        <f t="shared" ref="I3:I66" si="2">H3*$B$5*$B$2*MAX(0,1-N3)</f>
        <v>0</v>
      </c>
      <c r="J3" s="8">
        <f t="shared" ref="J3:J66" si="3">IF(F3&lt;=10,$B$6,IF(F3&lt;=20,$B$6-$B$6*$B$12,IF(F3&lt;=30,$B$6+$B$6*$B$12,IF(F3&lt;=40,$B$6-$B$6*$B$12,IF(F3&lt;=50,$B$6+$B$6*$B$12,IF(F3&lt;=60,$B$6-$B$6*$B$12,IF(F3&lt;=70,$B$6+$B$6*$B$12,IF(F3&lt;=80,$B$6-$B$6*$B$12,IF(F3&lt;=90,$B$6+$B$6*$B$12,IF(F3&lt;=100,$B$6-$B$6*$B$12,IF(F3&lt;=110,$B$6+$B$6*$B$12,IF(F3&lt;=120,$B$6-$B$6*$B$12,IF(F3&lt;=130,$B$6+$B$6*$B$12,IF(F3&lt;=140,$B$6-$B$6*$B$12,IF(F3&lt;=150,$B$6+$B$6*$B$12,IF(F3&lt;=160,$B$6-$B$6*$B$12,IF(F3&lt;=170,$B$6+$B$6*$B$12,IF(F3&lt;=180,$B$6-$B$6*$B$12,IF(F3&lt;=190,$B$6+$B$6*$B$12,IF(F3&lt;=200,$B$6-$B$6*$B$12,$B$6))))))))))))))))))))</f>
        <v>1000</v>
      </c>
      <c r="K3" s="8">
        <f>MIN($B$11,J3/H3)</f>
        <v>3</v>
      </c>
      <c r="L3" s="8">
        <f>$B$8*(J3/(H3*K3))</f>
        <v>55.555555555555557</v>
      </c>
      <c r="M3" s="8">
        <f>K3*L3</f>
        <v>166.66666666666669</v>
      </c>
      <c r="N3" s="8">
        <f t="shared" si="0"/>
        <v>1.666666666666667</v>
      </c>
      <c r="O3" s="8"/>
      <c r="P3" s="8"/>
      <c r="Q3" s="8"/>
      <c r="R3" s="8"/>
      <c r="S3" s="8"/>
    </row>
    <row r="4" spans="1:19" s="5" customFormat="1" ht="15.6" customHeight="1" x14ac:dyDescent="0.3">
      <c r="A4" s="6" t="s">
        <v>8</v>
      </c>
      <c r="B4" s="7">
        <f>Model_1!B4</f>
        <v>0.03</v>
      </c>
      <c r="C4" s="5" t="s">
        <v>4</v>
      </c>
      <c r="E4" s="5">
        <v>2</v>
      </c>
      <c r="F4" s="5">
        <f t="shared" si="1"/>
        <v>2</v>
      </c>
      <c r="G4" s="8">
        <f t="shared" ref="G4:G67" si="4">MAX(0,IF(N4&gt;=1,J4*$B$4*$B$2*(N4-1),0))</f>
        <v>16.875</v>
      </c>
      <c r="H4" s="8">
        <f t="shared" ref="H4:H67" si="5">H3+(G3-I3)</f>
        <v>320</v>
      </c>
      <c r="I4" s="8">
        <f t="shared" si="2"/>
        <v>0</v>
      </c>
      <c r="J4" s="8">
        <f t="shared" si="3"/>
        <v>1000</v>
      </c>
      <c r="K4" s="8">
        <f t="shared" ref="K4:K67" si="6">MIN($B$11,J4/H4)</f>
        <v>3</v>
      </c>
      <c r="L4" s="8">
        <f t="shared" ref="L4:L67" si="7">$B$8*(J4/(H4*K4))</f>
        <v>52.083333333333336</v>
      </c>
      <c r="M4" s="8">
        <f t="shared" ref="M4:M67" si="8">K4*L4</f>
        <v>156.25</v>
      </c>
      <c r="N4" s="8">
        <f t="shared" si="0"/>
        <v>1.5625</v>
      </c>
      <c r="O4" s="8"/>
      <c r="P4" s="8"/>
      <c r="Q4" s="8"/>
      <c r="R4" s="8"/>
      <c r="S4" s="8"/>
    </row>
    <row r="5" spans="1:19" s="5" customFormat="1" ht="15.6" customHeight="1" x14ac:dyDescent="0.3">
      <c r="A5" s="6" t="s">
        <v>9</v>
      </c>
      <c r="B5" s="7">
        <f>Model_1!B5</f>
        <v>0.04</v>
      </c>
      <c r="C5" s="5" t="s">
        <v>4</v>
      </c>
      <c r="E5" s="5">
        <v>3</v>
      </c>
      <c r="F5" s="5">
        <f t="shared" si="1"/>
        <v>3</v>
      </c>
      <c r="G5" s="8">
        <f t="shared" si="4"/>
        <v>14.526901669758823</v>
      </c>
      <c r="H5" s="8">
        <f t="shared" si="5"/>
        <v>336.875</v>
      </c>
      <c r="I5" s="8">
        <f t="shared" si="2"/>
        <v>0</v>
      </c>
      <c r="J5" s="8">
        <f t="shared" si="3"/>
        <v>1000</v>
      </c>
      <c r="K5" s="8">
        <f t="shared" si="6"/>
        <v>2.968460111317254</v>
      </c>
      <c r="L5" s="8">
        <f t="shared" si="7"/>
        <v>50.000000000000014</v>
      </c>
      <c r="M5" s="8">
        <f t="shared" si="8"/>
        <v>148.42300556586275</v>
      </c>
      <c r="N5" s="8">
        <f t="shared" si="0"/>
        <v>1.4842300556586274</v>
      </c>
      <c r="O5" s="8"/>
      <c r="P5" s="8"/>
      <c r="Q5" s="8"/>
      <c r="R5" s="8"/>
      <c r="S5" s="8"/>
    </row>
    <row r="6" spans="1:19" s="5" customFormat="1" ht="15.6" customHeight="1" x14ac:dyDescent="0.3">
      <c r="A6" s="6" t="s">
        <v>10</v>
      </c>
      <c r="B6" s="7">
        <f>Model_1!B6</f>
        <v>1000</v>
      </c>
      <c r="C6" s="5" t="s">
        <v>21</v>
      </c>
      <c r="E6" s="5">
        <v>4</v>
      </c>
      <c r="F6" s="5">
        <f t="shared" si="1"/>
        <v>4</v>
      </c>
      <c r="G6" s="8">
        <f t="shared" si="4"/>
        <v>12.686166263541542</v>
      </c>
      <c r="H6" s="8">
        <f t="shared" si="5"/>
        <v>351.40190166975884</v>
      </c>
      <c r="I6" s="8">
        <f t="shared" si="2"/>
        <v>0</v>
      </c>
      <c r="J6" s="8">
        <f t="shared" si="3"/>
        <v>1000</v>
      </c>
      <c r="K6" s="8">
        <f t="shared" si="6"/>
        <v>2.8457444175694357</v>
      </c>
      <c r="L6" s="8">
        <f t="shared" si="7"/>
        <v>50</v>
      </c>
      <c r="M6" s="8">
        <f t="shared" si="8"/>
        <v>142.2872208784718</v>
      </c>
      <c r="N6" s="8">
        <f t="shared" si="0"/>
        <v>1.4228722087847181</v>
      </c>
      <c r="O6" s="8"/>
      <c r="P6" s="8"/>
      <c r="Q6" s="8"/>
      <c r="R6" s="8"/>
      <c r="S6" s="8"/>
    </row>
    <row r="7" spans="1:19" s="5" customFormat="1" ht="15.6" customHeight="1" x14ac:dyDescent="0.3">
      <c r="A7" s="6" t="s">
        <v>36</v>
      </c>
      <c r="B7" s="7">
        <f>Model_1!B7</f>
        <v>0.33333333333333331</v>
      </c>
      <c r="C7" s="5" t="s">
        <v>2</v>
      </c>
      <c r="E7" s="5">
        <v>5</v>
      </c>
      <c r="F7" s="5">
        <f t="shared" si="1"/>
        <v>5</v>
      </c>
      <c r="G7" s="8">
        <f t="shared" si="4"/>
        <v>11.198823364757846</v>
      </c>
      <c r="H7" s="8">
        <f t="shared" si="5"/>
        <v>364.08806793330041</v>
      </c>
      <c r="I7" s="8">
        <f t="shared" si="2"/>
        <v>0</v>
      </c>
      <c r="J7" s="8">
        <f t="shared" si="3"/>
        <v>1000</v>
      </c>
      <c r="K7" s="8">
        <f t="shared" si="6"/>
        <v>2.7465882243171902</v>
      </c>
      <c r="L7" s="8">
        <f t="shared" si="7"/>
        <v>49.999999999999993</v>
      </c>
      <c r="M7" s="8">
        <f t="shared" si="8"/>
        <v>137.32941121585949</v>
      </c>
      <c r="N7" s="8">
        <f t="shared" si="0"/>
        <v>1.3732941121585949</v>
      </c>
      <c r="O7" s="8"/>
      <c r="P7" s="8"/>
      <c r="Q7" s="8"/>
      <c r="R7" s="8"/>
      <c r="S7" s="8"/>
    </row>
    <row r="8" spans="1:19" s="5" customFormat="1" ht="15.6" customHeight="1" x14ac:dyDescent="0.3">
      <c r="A8" s="6" t="s">
        <v>11</v>
      </c>
      <c r="B8" s="7">
        <f>Model_1!B8</f>
        <v>50</v>
      </c>
      <c r="C8" s="5" t="s">
        <v>1</v>
      </c>
      <c r="E8" s="5">
        <v>6</v>
      </c>
      <c r="F8" s="5">
        <f t="shared" si="1"/>
        <v>6</v>
      </c>
      <c r="G8" s="8">
        <f t="shared" si="4"/>
        <v>9.9694216553031207</v>
      </c>
      <c r="H8" s="8">
        <f t="shared" si="5"/>
        <v>375.28689129805826</v>
      </c>
      <c r="I8" s="8">
        <f t="shared" si="2"/>
        <v>0</v>
      </c>
      <c r="J8" s="8">
        <f t="shared" si="3"/>
        <v>1000</v>
      </c>
      <c r="K8" s="8">
        <f t="shared" si="6"/>
        <v>2.6646281103535419</v>
      </c>
      <c r="L8" s="8">
        <f t="shared" si="7"/>
        <v>49.999999999999993</v>
      </c>
      <c r="M8" s="8">
        <f t="shared" si="8"/>
        <v>133.23140551767708</v>
      </c>
      <c r="N8" s="8">
        <f t="shared" si="0"/>
        <v>1.3323140551767707</v>
      </c>
      <c r="O8" s="8"/>
      <c r="P8" s="8"/>
      <c r="Q8" s="8"/>
      <c r="R8" s="8"/>
      <c r="S8" s="8"/>
    </row>
    <row r="9" spans="1:19" s="5" customFormat="1" ht="15.6" customHeight="1" x14ac:dyDescent="0.3">
      <c r="A9" s="6" t="s">
        <v>12</v>
      </c>
      <c r="B9" s="7">
        <f>Model_1!B9</f>
        <v>8.3333333333333329E-2</v>
      </c>
      <c r="C9" s="5" t="s">
        <v>2</v>
      </c>
      <c r="E9" s="5">
        <v>7</v>
      </c>
      <c r="F9" s="5">
        <f t="shared" si="1"/>
        <v>7</v>
      </c>
      <c r="G9" s="8">
        <f t="shared" si="4"/>
        <v>8.9351179868034549</v>
      </c>
      <c r="H9" s="8">
        <f t="shared" si="5"/>
        <v>385.25631295336137</v>
      </c>
      <c r="I9" s="8">
        <f t="shared" si="2"/>
        <v>0</v>
      </c>
      <c r="J9" s="8">
        <f t="shared" si="3"/>
        <v>1000</v>
      </c>
      <c r="K9" s="8">
        <f t="shared" si="6"/>
        <v>2.5956745324535633</v>
      </c>
      <c r="L9" s="8">
        <f t="shared" si="7"/>
        <v>50.000000000000014</v>
      </c>
      <c r="M9" s="8">
        <f t="shared" si="8"/>
        <v>129.78372662267819</v>
      </c>
      <c r="N9" s="8">
        <f t="shared" si="0"/>
        <v>1.2978372662267819</v>
      </c>
      <c r="O9" s="8"/>
      <c r="P9" s="8"/>
      <c r="Q9" s="8"/>
      <c r="R9" s="8"/>
      <c r="S9" s="8"/>
    </row>
    <row r="10" spans="1:19" s="5" customFormat="1" ht="27.6" customHeight="1" x14ac:dyDescent="0.3">
      <c r="A10" s="6" t="s">
        <v>13</v>
      </c>
      <c r="B10" s="7">
        <f>Model_1!B10</f>
        <v>100</v>
      </c>
      <c r="C10" s="5" t="s">
        <v>5</v>
      </c>
      <c r="E10" s="5">
        <v>8</v>
      </c>
      <c r="F10" s="5">
        <f t="shared" si="1"/>
        <v>8</v>
      </c>
      <c r="G10" s="8">
        <f t="shared" si="4"/>
        <v>8.0525775616793744</v>
      </c>
      <c r="H10" s="8">
        <f t="shared" si="5"/>
        <v>394.19143094016482</v>
      </c>
      <c r="I10" s="8">
        <f t="shared" si="2"/>
        <v>0</v>
      </c>
      <c r="J10" s="8">
        <f t="shared" si="3"/>
        <v>1000</v>
      </c>
      <c r="K10" s="8">
        <f t="shared" si="6"/>
        <v>2.5368385041119583</v>
      </c>
      <c r="L10" s="8">
        <f t="shared" si="7"/>
        <v>50</v>
      </c>
      <c r="M10" s="8">
        <f t="shared" si="8"/>
        <v>126.84192520559792</v>
      </c>
      <c r="N10" s="8">
        <f t="shared" si="0"/>
        <v>1.2684192520559792</v>
      </c>
      <c r="O10" s="8"/>
      <c r="P10" s="8"/>
      <c r="Q10" s="8"/>
      <c r="R10" s="8"/>
      <c r="S10" s="8"/>
    </row>
    <row r="11" spans="1:19" s="5" customFormat="1" ht="16.2" customHeight="1" x14ac:dyDescent="0.3">
      <c r="A11" s="6" t="s">
        <v>14</v>
      </c>
      <c r="B11" s="7">
        <f>Model_1!B11</f>
        <v>3</v>
      </c>
      <c r="C11" s="5" t="s">
        <v>15</v>
      </c>
      <c r="E11" s="5">
        <v>9</v>
      </c>
      <c r="F11" s="5">
        <f t="shared" si="1"/>
        <v>9</v>
      </c>
      <c r="G11" s="8">
        <f t="shared" si="4"/>
        <v>7.2907978315635518</v>
      </c>
      <c r="H11" s="8">
        <f t="shared" si="5"/>
        <v>402.24400850184418</v>
      </c>
      <c r="I11" s="8">
        <f t="shared" si="2"/>
        <v>0</v>
      </c>
      <c r="J11" s="8">
        <f t="shared" si="3"/>
        <v>1000</v>
      </c>
      <c r="K11" s="8">
        <f t="shared" si="6"/>
        <v>2.486053188770903</v>
      </c>
      <c r="L11" s="8">
        <f t="shared" si="7"/>
        <v>50.000000000000014</v>
      </c>
      <c r="M11" s="8">
        <f t="shared" si="8"/>
        <v>124.30265943854518</v>
      </c>
      <c r="N11" s="8">
        <f t="shared" si="0"/>
        <v>1.2430265943854517</v>
      </c>
      <c r="O11" s="8"/>
      <c r="P11" s="8"/>
      <c r="Q11" s="8"/>
      <c r="R11" s="8"/>
      <c r="S11" s="8"/>
    </row>
    <row r="12" spans="1:19" s="5" customFormat="1" ht="13.2" customHeight="1" x14ac:dyDescent="0.3">
      <c r="A12" s="6" t="s">
        <v>16</v>
      </c>
      <c r="B12" s="7">
        <f>Model_3!B12</f>
        <v>0.6</v>
      </c>
      <c r="E12" s="5">
        <v>10</v>
      </c>
      <c r="F12" s="5">
        <f t="shared" si="1"/>
        <v>10</v>
      </c>
      <c r="G12" s="8">
        <f t="shared" si="4"/>
        <v>6.6269234458872877</v>
      </c>
      <c r="H12" s="8">
        <f t="shared" si="5"/>
        <v>409.53480633340774</v>
      </c>
      <c r="I12" s="8">
        <f t="shared" si="2"/>
        <v>0</v>
      </c>
      <c r="J12" s="8">
        <f t="shared" si="3"/>
        <v>1000</v>
      </c>
      <c r="K12" s="8">
        <f t="shared" si="6"/>
        <v>2.4417948963924854</v>
      </c>
      <c r="L12" s="8">
        <f t="shared" si="7"/>
        <v>50.000000000000014</v>
      </c>
      <c r="M12" s="8">
        <f t="shared" si="8"/>
        <v>122.0897448196243</v>
      </c>
      <c r="N12" s="8">
        <f t="shared" si="0"/>
        <v>1.2208974481962429</v>
      </c>
      <c r="O12" s="8"/>
      <c r="P12" s="8"/>
      <c r="Q12" s="8"/>
      <c r="R12" s="8"/>
      <c r="S12" s="8"/>
    </row>
    <row r="13" spans="1:19" s="5" customFormat="1" ht="15" customHeight="1" x14ac:dyDescent="0.3">
      <c r="A13" s="6" t="s">
        <v>25</v>
      </c>
      <c r="B13" s="7">
        <v>0</v>
      </c>
      <c r="C13" s="5" t="s">
        <v>2</v>
      </c>
      <c r="E13" s="5">
        <v>11</v>
      </c>
      <c r="F13" s="5">
        <f t="shared" si="1"/>
        <v>11</v>
      </c>
      <c r="G13" s="8">
        <f t="shared" si="4"/>
        <v>0</v>
      </c>
      <c r="H13" s="8">
        <f t="shared" si="5"/>
        <v>416.16172977929506</v>
      </c>
      <c r="I13" s="8">
        <f t="shared" si="2"/>
        <v>8.6464691911718035</v>
      </c>
      <c r="J13" s="8">
        <f t="shared" si="3"/>
        <v>400</v>
      </c>
      <c r="K13" s="8">
        <f t="shared" si="6"/>
        <v>0.96116478613286671</v>
      </c>
      <c r="L13" s="8">
        <f t="shared" si="7"/>
        <v>50</v>
      </c>
      <c r="M13" s="8">
        <f t="shared" si="8"/>
        <v>48.058239306643337</v>
      </c>
      <c r="N13" s="8">
        <f t="shared" si="0"/>
        <v>0.48058239306643336</v>
      </c>
      <c r="O13" s="8"/>
      <c r="P13" s="8"/>
      <c r="Q13" s="8"/>
      <c r="R13" s="8"/>
      <c r="S13" s="8"/>
    </row>
    <row r="14" spans="1:19" s="5" customFormat="1" ht="13.2" x14ac:dyDescent="0.3">
      <c r="E14" s="5">
        <v>12</v>
      </c>
      <c r="F14" s="5">
        <f t="shared" si="1"/>
        <v>12</v>
      </c>
      <c r="G14" s="8">
        <f t="shared" si="4"/>
        <v>0</v>
      </c>
      <c r="H14" s="8">
        <f t="shared" si="5"/>
        <v>407.51526058812328</v>
      </c>
      <c r="I14" s="8">
        <f t="shared" si="2"/>
        <v>8.3006104235249332</v>
      </c>
      <c r="J14" s="8">
        <f t="shared" si="3"/>
        <v>400</v>
      </c>
      <c r="K14" s="8">
        <f t="shared" si="6"/>
        <v>0.98155833335596487</v>
      </c>
      <c r="L14" s="8">
        <f t="shared" si="7"/>
        <v>50</v>
      </c>
      <c r="M14" s="8">
        <f t="shared" si="8"/>
        <v>49.077916667798242</v>
      </c>
      <c r="N14" s="8">
        <f t="shared" si="0"/>
        <v>0.49077916667798244</v>
      </c>
      <c r="O14" s="8"/>
      <c r="P14" s="8"/>
      <c r="Q14" s="8"/>
      <c r="R14" s="8"/>
      <c r="S14" s="8"/>
    </row>
    <row r="15" spans="1:19" s="5" customFormat="1" ht="13.2" x14ac:dyDescent="0.3">
      <c r="E15" s="5">
        <v>13</v>
      </c>
      <c r="F15" s="5">
        <f t="shared" si="1"/>
        <v>13</v>
      </c>
      <c r="G15" s="8">
        <f t="shared" si="4"/>
        <v>0</v>
      </c>
      <c r="H15" s="8">
        <f t="shared" si="5"/>
        <v>399.21465016459837</v>
      </c>
      <c r="I15" s="8">
        <f t="shared" si="2"/>
        <v>7.9685860065839353</v>
      </c>
      <c r="J15" s="8">
        <f t="shared" si="3"/>
        <v>400</v>
      </c>
      <c r="K15" s="8">
        <f t="shared" si="6"/>
        <v>1.0019672370116623</v>
      </c>
      <c r="L15" s="8">
        <f t="shared" si="7"/>
        <v>50</v>
      </c>
      <c r="M15" s="8">
        <f t="shared" si="8"/>
        <v>50.098361850583117</v>
      </c>
      <c r="N15" s="8">
        <f t="shared" si="0"/>
        <v>0.50098361850583117</v>
      </c>
      <c r="O15" s="8"/>
      <c r="P15" s="8"/>
      <c r="Q15" s="8"/>
      <c r="R15" s="8"/>
      <c r="S15" s="8"/>
    </row>
    <row r="16" spans="1:19" s="5" customFormat="1" ht="13.2" x14ac:dyDescent="0.3">
      <c r="E16" s="5">
        <v>14</v>
      </c>
      <c r="F16" s="5">
        <f t="shared" si="1"/>
        <v>14</v>
      </c>
      <c r="G16" s="8">
        <f t="shared" si="4"/>
        <v>0</v>
      </c>
      <c r="H16" s="8">
        <f t="shared" si="5"/>
        <v>391.24606415801441</v>
      </c>
      <c r="I16" s="8">
        <f t="shared" si="2"/>
        <v>7.6498425663205767</v>
      </c>
      <c r="J16" s="8">
        <f t="shared" si="3"/>
        <v>400</v>
      </c>
      <c r="K16" s="8">
        <f t="shared" si="6"/>
        <v>1.0223745019923065</v>
      </c>
      <c r="L16" s="8">
        <f t="shared" si="7"/>
        <v>50</v>
      </c>
      <c r="M16" s="8">
        <f t="shared" si="8"/>
        <v>51.118725099615325</v>
      </c>
      <c r="N16" s="8">
        <f t="shared" si="0"/>
        <v>0.51118725099615325</v>
      </c>
      <c r="O16" s="8"/>
      <c r="P16" s="8"/>
      <c r="Q16" s="8"/>
      <c r="R16" s="8"/>
      <c r="S16" s="8"/>
    </row>
    <row r="17" spans="1:19" s="5" customFormat="1" ht="13.2" x14ac:dyDescent="0.3">
      <c r="A17" s="6"/>
      <c r="E17" s="5">
        <v>15</v>
      </c>
      <c r="F17" s="5">
        <f t="shared" si="1"/>
        <v>15</v>
      </c>
      <c r="G17" s="8">
        <f t="shared" si="4"/>
        <v>0</v>
      </c>
      <c r="H17" s="8">
        <f t="shared" si="5"/>
        <v>383.59622159169385</v>
      </c>
      <c r="I17" s="8">
        <f t="shared" si="2"/>
        <v>7.3438488636677546</v>
      </c>
      <c r="J17" s="8">
        <f t="shared" si="3"/>
        <v>400</v>
      </c>
      <c r="K17" s="8">
        <f t="shared" si="6"/>
        <v>1.0427631386467791</v>
      </c>
      <c r="L17" s="8">
        <f t="shared" si="7"/>
        <v>49.999999999999993</v>
      </c>
      <c r="M17" s="8">
        <f t="shared" si="8"/>
        <v>52.138156932338944</v>
      </c>
      <c r="N17" s="8">
        <f t="shared" si="0"/>
        <v>0.52138156932338942</v>
      </c>
      <c r="O17" s="8"/>
      <c r="P17" s="8"/>
      <c r="Q17" s="8"/>
      <c r="R17" s="8"/>
      <c r="S17" s="8"/>
    </row>
    <row r="18" spans="1:19" s="5" customFormat="1" ht="13.2" x14ac:dyDescent="0.3">
      <c r="A18" s="6"/>
      <c r="E18" s="5">
        <v>16</v>
      </c>
      <c r="F18" s="5">
        <f t="shared" si="1"/>
        <v>16</v>
      </c>
      <c r="G18" s="8">
        <f t="shared" si="4"/>
        <v>0</v>
      </c>
      <c r="H18" s="8">
        <f t="shared" si="5"/>
        <v>376.2523727280261</v>
      </c>
      <c r="I18" s="8">
        <f t="shared" si="2"/>
        <v>7.0500949091210448</v>
      </c>
      <c r="J18" s="8">
        <f t="shared" si="3"/>
        <v>400</v>
      </c>
      <c r="K18" s="8">
        <f t="shared" si="6"/>
        <v>1.0631162193072463</v>
      </c>
      <c r="L18" s="8">
        <f t="shared" si="7"/>
        <v>50</v>
      </c>
      <c r="M18" s="8">
        <f t="shared" si="8"/>
        <v>53.155810965362313</v>
      </c>
      <c r="N18" s="8">
        <f t="shared" si="0"/>
        <v>0.53155810965362316</v>
      </c>
      <c r="O18" s="8"/>
      <c r="P18" s="8"/>
      <c r="Q18" s="8"/>
      <c r="R18" s="8"/>
      <c r="S18" s="8"/>
    </row>
    <row r="19" spans="1:19" s="5" customFormat="1" ht="13.2" x14ac:dyDescent="0.3">
      <c r="A19" s="6"/>
      <c r="E19" s="5">
        <v>17</v>
      </c>
      <c r="F19" s="5">
        <f t="shared" si="1"/>
        <v>17</v>
      </c>
      <c r="G19" s="8">
        <f t="shared" si="4"/>
        <v>0</v>
      </c>
      <c r="H19" s="8">
        <f t="shared" si="5"/>
        <v>369.20227781890503</v>
      </c>
      <c r="I19" s="8">
        <f t="shared" si="2"/>
        <v>6.7680911127562018</v>
      </c>
      <c r="J19" s="8">
        <f t="shared" si="3"/>
        <v>400</v>
      </c>
      <c r="K19" s="8">
        <f t="shared" si="6"/>
        <v>1.0834169343781821</v>
      </c>
      <c r="L19" s="8">
        <f t="shared" si="7"/>
        <v>50</v>
      </c>
      <c r="M19" s="8">
        <f t="shared" si="8"/>
        <v>54.170846718909104</v>
      </c>
      <c r="N19" s="8">
        <f t="shared" si="0"/>
        <v>0.54170846718909105</v>
      </c>
      <c r="O19" s="8"/>
      <c r="P19" s="8"/>
      <c r="Q19" s="8"/>
      <c r="R19" s="8"/>
      <c r="S19" s="8"/>
    </row>
    <row r="20" spans="1:19" s="5" customFormat="1" ht="13.2" x14ac:dyDescent="0.3">
      <c r="A20" s="6"/>
      <c r="E20" s="5">
        <v>18</v>
      </c>
      <c r="F20" s="5">
        <f t="shared" si="1"/>
        <v>18</v>
      </c>
      <c r="G20" s="8">
        <f t="shared" si="4"/>
        <v>0</v>
      </c>
      <c r="H20" s="8">
        <f t="shared" si="5"/>
        <v>362.43418670614881</v>
      </c>
      <c r="I20" s="8">
        <f t="shared" si="2"/>
        <v>6.4973674682459528</v>
      </c>
      <c r="J20" s="8">
        <f t="shared" si="3"/>
        <v>400</v>
      </c>
      <c r="K20" s="8">
        <f t="shared" si="6"/>
        <v>1.1036486475938001</v>
      </c>
      <c r="L20" s="8">
        <f t="shared" si="7"/>
        <v>50</v>
      </c>
      <c r="M20" s="8">
        <f t="shared" si="8"/>
        <v>55.182432379690006</v>
      </c>
      <c r="N20" s="8">
        <f t="shared" si="0"/>
        <v>0.55182432379690005</v>
      </c>
      <c r="O20" s="8"/>
      <c r="P20" s="8"/>
      <c r="Q20" s="8"/>
      <c r="R20" s="8"/>
      <c r="S20" s="8"/>
    </row>
    <row r="21" spans="1:19" s="5" customFormat="1" ht="13.2" x14ac:dyDescent="0.3">
      <c r="A21" s="6"/>
      <c r="E21" s="5">
        <v>19</v>
      </c>
      <c r="F21" s="5">
        <f t="shared" si="1"/>
        <v>19</v>
      </c>
      <c r="G21" s="8">
        <f t="shared" si="4"/>
        <v>0</v>
      </c>
      <c r="H21" s="8">
        <f t="shared" si="5"/>
        <v>355.93681923790285</v>
      </c>
      <c r="I21" s="8">
        <f t="shared" si="2"/>
        <v>6.2374727695161152</v>
      </c>
      <c r="J21" s="8">
        <f t="shared" si="3"/>
        <v>400</v>
      </c>
      <c r="K21" s="8">
        <f t="shared" si="6"/>
        <v>1.1237949500600724</v>
      </c>
      <c r="L21" s="8">
        <f t="shared" si="7"/>
        <v>49.999999999999993</v>
      </c>
      <c r="M21" s="8">
        <f t="shared" si="8"/>
        <v>56.189747503003609</v>
      </c>
      <c r="N21" s="8">
        <f t="shared" si="0"/>
        <v>0.56189747503003606</v>
      </c>
      <c r="O21" s="8"/>
      <c r="P21" s="8"/>
      <c r="Q21" s="8"/>
      <c r="R21" s="8"/>
      <c r="S21" s="8"/>
    </row>
    <row r="22" spans="1:19" s="5" customFormat="1" ht="13.2" x14ac:dyDescent="0.3">
      <c r="A22" s="6"/>
      <c r="E22" s="5">
        <v>20</v>
      </c>
      <c r="F22" s="5">
        <f t="shared" si="1"/>
        <v>20</v>
      </c>
      <c r="G22" s="8">
        <f t="shared" si="4"/>
        <v>0</v>
      </c>
      <c r="H22" s="8">
        <f t="shared" si="5"/>
        <v>349.69934646838675</v>
      </c>
      <c r="I22" s="8">
        <f t="shared" si="2"/>
        <v>5.9879738587354696</v>
      </c>
      <c r="J22" s="8">
        <f t="shared" si="3"/>
        <v>400</v>
      </c>
      <c r="K22" s="8">
        <f t="shared" si="6"/>
        <v>1.1438397127120754</v>
      </c>
      <c r="L22" s="8">
        <f t="shared" si="7"/>
        <v>50</v>
      </c>
      <c r="M22" s="8">
        <f t="shared" si="8"/>
        <v>57.191985635603771</v>
      </c>
      <c r="N22" s="8">
        <f t="shared" si="0"/>
        <v>0.5719198563560377</v>
      </c>
      <c r="O22" s="8"/>
      <c r="P22" s="8"/>
      <c r="Q22" s="8"/>
      <c r="R22" s="8"/>
      <c r="S22" s="8"/>
    </row>
    <row r="23" spans="1:19" s="5" customFormat="1" ht="13.2" x14ac:dyDescent="0.3">
      <c r="A23" s="6"/>
      <c r="E23" s="5">
        <v>21</v>
      </c>
      <c r="F23" s="5">
        <f t="shared" si="1"/>
        <v>21</v>
      </c>
      <c r="G23" s="8">
        <f t="shared" si="4"/>
        <v>63.721645136282419</v>
      </c>
      <c r="H23" s="8">
        <f t="shared" si="5"/>
        <v>343.71137260965128</v>
      </c>
      <c r="I23" s="8">
        <f t="shared" si="2"/>
        <v>0</v>
      </c>
      <c r="J23" s="8">
        <f t="shared" si="3"/>
        <v>1600</v>
      </c>
      <c r="K23" s="8">
        <f t="shared" si="6"/>
        <v>3</v>
      </c>
      <c r="L23" s="8">
        <f t="shared" si="7"/>
        <v>77.584475789085019</v>
      </c>
      <c r="M23" s="8">
        <f t="shared" si="8"/>
        <v>232.75342736725506</v>
      </c>
      <c r="N23" s="8">
        <f t="shared" si="0"/>
        <v>2.3275342736725504</v>
      </c>
      <c r="O23" s="8"/>
      <c r="P23" s="8"/>
      <c r="Q23" s="8"/>
      <c r="R23" s="8"/>
      <c r="S23" s="8"/>
    </row>
    <row r="24" spans="1:19" s="5" customFormat="1" ht="13.2" x14ac:dyDescent="0.3">
      <c r="A24" s="6"/>
      <c r="E24" s="5">
        <v>22</v>
      </c>
      <c r="F24" s="5">
        <f t="shared" si="1"/>
        <v>22</v>
      </c>
      <c r="G24" s="8">
        <f t="shared" si="4"/>
        <v>46.248620822246181</v>
      </c>
      <c r="H24" s="8">
        <f t="shared" si="5"/>
        <v>407.43301774593368</v>
      </c>
      <c r="I24" s="8">
        <f t="shared" si="2"/>
        <v>0</v>
      </c>
      <c r="J24" s="8">
        <f t="shared" si="3"/>
        <v>1600</v>
      </c>
      <c r="K24" s="8">
        <f t="shared" si="6"/>
        <v>3</v>
      </c>
      <c r="L24" s="8">
        <f t="shared" si="7"/>
        <v>65.450431126559849</v>
      </c>
      <c r="M24" s="8">
        <f t="shared" si="8"/>
        <v>196.35129337967953</v>
      </c>
      <c r="N24" s="8">
        <f t="shared" si="0"/>
        <v>1.9635129337967954</v>
      </c>
      <c r="O24" s="8"/>
      <c r="P24" s="8"/>
      <c r="Q24" s="8"/>
      <c r="R24" s="8"/>
      <c r="S24" s="8"/>
    </row>
    <row r="25" spans="1:19" s="5" customFormat="1" ht="13.2" x14ac:dyDescent="0.3">
      <c r="A25" s="6"/>
      <c r="E25" s="5">
        <v>23</v>
      </c>
      <c r="F25" s="5">
        <f t="shared" si="1"/>
        <v>23</v>
      </c>
      <c r="G25" s="8">
        <f t="shared" si="4"/>
        <v>36.640851062852093</v>
      </c>
      <c r="H25" s="8">
        <f t="shared" si="5"/>
        <v>453.68163856817989</v>
      </c>
      <c r="I25" s="8">
        <f t="shared" si="2"/>
        <v>0</v>
      </c>
      <c r="J25" s="8">
        <f t="shared" si="3"/>
        <v>1600</v>
      </c>
      <c r="K25" s="8">
        <f t="shared" si="6"/>
        <v>3</v>
      </c>
      <c r="L25" s="8">
        <f t="shared" si="7"/>
        <v>58.778368793647282</v>
      </c>
      <c r="M25" s="8">
        <f t="shared" si="8"/>
        <v>176.33510638094185</v>
      </c>
      <c r="N25" s="8">
        <f t="shared" si="0"/>
        <v>1.7633510638094185</v>
      </c>
      <c r="O25" s="8"/>
      <c r="P25" s="8"/>
      <c r="Q25" s="8"/>
      <c r="R25" s="8"/>
      <c r="S25" s="8"/>
    </row>
    <row r="26" spans="1:19" s="5" customFormat="1" ht="13.2" x14ac:dyDescent="0.3">
      <c r="A26" s="6"/>
      <c r="E26" s="5">
        <v>24</v>
      </c>
      <c r="F26" s="5">
        <f t="shared" si="1"/>
        <v>24</v>
      </c>
      <c r="G26" s="8">
        <f t="shared" si="4"/>
        <v>30.315804010735942</v>
      </c>
      <c r="H26" s="8">
        <f t="shared" si="5"/>
        <v>490.322489631032</v>
      </c>
      <c r="I26" s="8">
        <f t="shared" si="2"/>
        <v>0</v>
      </c>
      <c r="J26" s="8">
        <f t="shared" si="3"/>
        <v>1600</v>
      </c>
      <c r="K26" s="8">
        <f t="shared" si="6"/>
        <v>3</v>
      </c>
      <c r="L26" s="8">
        <f t="shared" si="7"/>
        <v>54.385975007455514</v>
      </c>
      <c r="M26" s="8">
        <f t="shared" si="8"/>
        <v>163.15792502236656</v>
      </c>
      <c r="N26" s="8">
        <f t="shared" si="0"/>
        <v>1.6315792502236655</v>
      </c>
      <c r="O26" s="8"/>
      <c r="P26" s="8"/>
      <c r="Q26" s="8"/>
      <c r="R26" s="8"/>
      <c r="S26" s="8"/>
    </row>
    <row r="27" spans="1:19" s="5" customFormat="1" ht="13.2" x14ac:dyDescent="0.3">
      <c r="A27" s="6"/>
      <c r="E27" s="5">
        <v>25</v>
      </c>
      <c r="F27" s="5">
        <f t="shared" si="1"/>
        <v>25</v>
      </c>
      <c r="G27" s="8">
        <f t="shared" si="4"/>
        <v>25.755619724778889</v>
      </c>
      <c r="H27" s="8">
        <f t="shared" si="5"/>
        <v>520.63829364176797</v>
      </c>
      <c r="I27" s="8">
        <f t="shared" si="2"/>
        <v>0</v>
      </c>
      <c r="J27" s="8">
        <f t="shared" si="3"/>
        <v>1600</v>
      </c>
      <c r="K27" s="8">
        <f t="shared" si="6"/>
        <v>3</v>
      </c>
      <c r="L27" s="8">
        <f t="shared" si="7"/>
        <v>51.219180364429782</v>
      </c>
      <c r="M27" s="8">
        <f t="shared" si="8"/>
        <v>153.65754109328935</v>
      </c>
      <c r="N27" s="8">
        <f t="shared" si="0"/>
        <v>1.5365754109328935</v>
      </c>
      <c r="O27" s="8"/>
      <c r="P27" s="8"/>
      <c r="Q27" s="8"/>
      <c r="R27" s="8"/>
      <c r="S27" s="8"/>
    </row>
    <row r="28" spans="1:19" s="5" customFormat="1" ht="13.2" x14ac:dyDescent="0.3">
      <c r="A28" s="6"/>
      <c r="E28" s="5">
        <v>26</v>
      </c>
      <c r="F28" s="5">
        <f t="shared" si="1"/>
        <v>26</v>
      </c>
      <c r="G28" s="8">
        <f t="shared" si="4"/>
        <v>22.278967354161345</v>
      </c>
      <c r="H28" s="8">
        <f t="shared" si="5"/>
        <v>546.39391336654683</v>
      </c>
      <c r="I28" s="8">
        <f t="shared" si="2"/>
        <v>0</v>
      </c>
      <c r="J28" s="8">
        <f t="shared" si="3"/>
        <v>1600</v>
      </c>
      <c r="K28" s="8">
        <f t="shared" si="6"/>
        <v>2.9282903064233889</v>
      </c>
      <c r="L28" s="8">
        <f t="shared" si="7"/>
        <v>50</v>
      </c>
      <c r="M28" s="8">
        <f t="shared" si="8"/>
        <v>146.41451532116946</v>
      </c>
      <c r="N28" s="8">
        <f t="shared" si="0"/>
        <v>1.4641451532116947</v>
      </c>
      <c r="O28" s="8"/>
      <c r="P28" s="8"/>
      <c r="Q28" s="8"/>
      <c r="R28" s="8"/>
      <c r="S28" s="8"/>
    </row>
    <row r="29" spans="1:19" s="5" customFormat="1" ht="13.2" x14ac:dyDescent="0.3">
      <c r="A29" s="6"/>
      <c r="E29" s="5">
        <v>27</v>
      </c>
      <c r="F29" s="5">
        <f t="shared" si="1"/>
        <v>27</v>
      </c>
      <c r="G29" s="8">
        <f t="shared" si="4"/>
        <v>19.525639610831668</v>
      </c>
      <c r="H29" s="8">
        <f t="shared" si="5"/>
        <v>568.67288072070812</v>
      </c>
      <c r="I29" s="8">
        <f t="shared" si="2"/>
        <v>0</v>
      </c>
      <c r="J29" s="8">
        <f t="shared" si="3"/>
        <v>1600</v>
      </c>
      <c r="K29" s="8">
        <f t="shared" si="6"/>
        <v>2.8135683171179862</v>
      </c>
      <c r="L29" s="8">
        <f t="shared" si="7"/>
        <v>50</v>
      </c>
      <c r="M29" s="8">
        <f t="shared" si="8"/>
        <v>140.67841585589932</v>
      </c>
      <c r="N29" s="8">
        <f t="shared" si="0"/>
        <v>1.4067841585589931</v>
      </c>
      <c r="O29" s="8"/>
      <c r="P29" s="8"/>
      <c r="Q29" s="8"/>
      <c r="R29" s="8"/>
      <c r="S29" s="8"/>
    </row>
    <row r="30" spans="1:19" s="5" customFormat="1" ht="13.2" x14ac:dyDescent="0.3">
      <c r="A30" s="6"/>
      <c r="E30" s="5">
        <v>28</v>
      </c>
      <c r="F30" s="5">
        <f t="shared" si="1"/>
        <v>28</v>
      </c>
      <c r="G30" s="8">
        <f t="shared" si="4"/>
        <v>17.284081262828966</v>
      </c>
      <c r="H30" s="8">
        <f t="shared" si="5"/>
        <v>588.19852033153984</v>
      </c>
      <c r="I30" s="8">
        <f t="shared" si="2"/>
        <v>0</v>
      </c>
      <c r="J30" s="8">
        <f t="shared" si="3"/>
        <v>1600</v>
      </c>
      <c r="K30" s="8">
        <f t="shared" si="6"/>
        <v>2.7201700526178736</v>
      </c>
      <c r="L30" s="8">
        <f t="shared" si="7"/>
        <v>49.999999999999993</v>
      </c>
      <c r="M30" s="8">
        <f t="shared" si="8"/>
        <v>136.00850263089367</v>
      </c>
      <c r="N30" s="8">
        <f t="shared" si="0"/>
        <v>1.3600850263089368</v>
      </c>
      <c r="O30" s="8"/>
      <c r="P30" s="8"/>
      <c r="Q30" s="8"/>
      <c r="R30" s="8"/>
      <c r="S30" s="8"/>
    </row>
    <row r="31" spans="1:19" s="5" customFormat="1" ht="13.2" x14ac:dyDescent="0.3">
      <c r="A31" s="6"/>
      <c r="E31" s="5">
        <v>29</v>
      </c>
      <c r="F31" s="5">
        <f t="shared" si="1"/>
        <v>29</v>
      </c>
      <c r="G31" s="8">
        <f t="shared" si="4"/>
        <v>15.420484583511335</v>
      </c>
      <c r="H31" s="8">
        <f t="shared" si="5"/>
        <v>605.48260159436882</v>
      </c>
      <c r="I31" s="8">
        <f t="shared" si="2"/>
        <v>0</v>
      </c>
      <c r="J31" s="8">
        <f t="shared" si="3"/>
        <v>1600</v>
      </c>
      <c r="K31" s="8">
        <f t="shared" si="6"/>
        <v>2.6425201909796385</v>
      </c>
      <c r="L31" s="8">
        <f t="shared" si="7"/>
        <v>50.000000000000014</v>
      </c>
      <c r="M31" s="8">
        <f t="shared" si="8"/>
        <v>132.12600954898195</v>
      </c>
      <c r="N31" s="8">
        <f t="shared" si="0"/>
        <v>1.3212600954898195</v>
      </c>
      <c r="O31" s="8"/>
      <c r="P31" s="8"/>
      <c r="Q31" s="8"/>
      <c r="R31" s="8"/>
      <c r="S31" s="8"/>
    </row>
    <row r="32" spans="1:19" s="5" customFormat="1" ht="13.2" x14ac:dyDescent="0.3">
      <c r="A32" s="6"/>
      <c r="E32" s="5">
        <v>30</v>
      </c>
      <c r="F32" s="5">
        <f t="shared" si="1"/>
        <v>30</v>
      </c>
      <c r="G32" s="8">
        <f t="shared" si="4"/>
        <v>13.845400441444948</v>
      </c>
      <c r="H32" s="8">
        <f t="shared" si="5"/>
        <v>620.90308617788014</v>
      </c>
      <c r="I32" s="8">
        <f t="shared" si="2"/>
        <v>0</v>
      </c>
      <c r="J32" s="8">
        <f t="shared" si="3"/>
        <v>1600</v>
      </c>
      <c r="K32" s="8">
        <f t="shared" si="6"/>
        <v>2.5768916850602062</v>
      </c>
      <c r="L32" s="8">
        <f t="shared" si="7"/>
        <v>50</v>
      </c>
      <c r="M32" s="8">
        <f t="shared" si="8"/>
        <v>128.84458425301031</v>
      </c>
      <c r="N32" s="8">
        <f t="shared" si="0"/>
        <v>1.2884458425301031</v>
      </c>
      <c r="O32" s="8"/>
      <c r="P32" s="8"/>
      <c r="Q32" s="8"/>
      <c r="R32" s="8"/>
      <c r="S32" s="8"/>
    </row>
    <row r="33" spans="1:19" s="5" customFormat="1" ht="13.2" x14ac:dyDescent="0.3">
      <c r="A33" s="6"/>
      <c r="E33" s="5">
        <v>31</v>
      </c>
      <c r="F33" s="5">
        <f t="shared" si="1"/>
        <v>31</v>
      </c>
      <c r="G33" s="8">
        <f t="shared" si="4"/>
        <v>0</v>
      </c>
      <c r="H33" s="8">
        <f t="shared" si="5"/>
        <v>634.74848661932504</v>
      </c>
      <c r="I33" s="8">
        <f t="shared" si="2"/>
        <v>17.389939464773004</v>
      </c>
      <c r="J33" s="8">
        <f t="shared" si="3"/>
        <v>400</v>
      </c>
      <c r="K33" s="8">
        <f t="shared" si="6"/>
        <v>0.63017086047798687</v>
      </c>
      <c r="L33" s="8">
        <f t="shared" si="7"/>
        <v>50</v>
      </c>
      <c r="M33" s="8">
        <f t="shared" si="8"/>
        <v>31.508543023899342</v>
      </c>
      <c r="N33" s="8">
        <f t="shared" si="0"/>
        <v>0.31508543023899344</v>
      </c>
      <c r="O33" s="8"/>
      <c r="P33" s="8"/>
      <c r="Q33" s="8"/>
      <c r="R33" s="8"/>
      <c r="S33" s="8"/>
    </row>
    <row r="34" spans="1:19" s="5" customFormat="1" ht="13.2" x14ac:dyDescent="0.3">
      <c r="A34" s="6"/>
      <c r="E34" s="5">
        <v>32</v>
      </c>
      <c r="F34" s="5">
        <f t="shared" si="1"/>
        <v>32</v>
      </c>
      <c r="G34" s="8">
        <f t="shared" si="4"/>
        <v>0</v>
      </c>
      <c r="H34" s="8">
        <f t="shared" si="5"/>
        <v>617.35854715455207</v>
      </c>
      <c r="I34" s="8">
        <f t="shared" si="2"/>
        <v>16.694341886182084</v>
      </c>
      <c r="J34" s="8">
        <f t="shared" si="3"/>
        <v>400</v>
      </c>
      <c r="K34" s="8">
        <f t="shared" si="6"/>
        <v>0.64792170100118884</v>
      </c>
      <c r="L34" s="8">
        <f t="shared" si="7"/>
        <v>49.999999999999993</v>
      </c>
      <c r="M34" s="8">
        <f t="shared" si="8"/>
        <v>32.39608505005944</v>
      </c>
      <c r="N34" s="8">
        <f t="shared" si="0"/>
        <v>0.32396085050059442</v>
      </c>
      <c r="O34" s="8"/>
      <c r="P34" s="8"/>
      <c r="Q34" s="8"/>
      <c r="R34" s="8"/>
      <c r="S34" s="8"/>
    </row>
    <row r="35" spans="1:19" s="5" customFormat="1" ht="13.2" x14ac:dyDescent="0.3">
      <c r="A35" s="6"/>
      <c r="E35" s="5">
        <v>33</v>
      </c>
      <c r="F35" s="5">
        <f t="shared" si="1"/>
        <v>33</v>
      </c>
      <c r="G35" s="8">
        <f t="shared" si="4"/>
        <v>0</v>
      </c>
      <c r="H35" s="8">
        <f t="shared" si="5"/>
        <v>600.66420526836998</v>
      </c>
      <c r="I35" s="8">
        <f t="shared" si="2"/>
        <v>16.026568210734801</v>
      </c>
      <c r="J35" s="8">
        <f t="shared" si="3"/>
        <v>400</v>
      </c>
      <c r="K35" s="8">
        <f t="shared" si="6"/>
        <v>0.6659294768884797</v>
      </c>
      <c r="L35" s="8">
        <f t="shared" si="7"/>
        <v>50</v>
      </c>
      <c r="M35" s="8">
        <f t="shared" si="8"/>
        <v>33.296473844423986</v>
      </c>
      <c r="N35" s="8">
        <f t="shared" si="0"/>
        <v>0.33296473844423985</v>
      </c>
      <c r="O35" s="8"/>
      <c r="P35" s="8"/>
      <c r="Q35" s="8"/>
      <c r="R35" s="8"/>
      <c r="S35" s="8"/>
    </row>
    <row r="36" spans="1:19" s="5" customFormat="1" ht="13.2" x14ac:dyDescent="0.3">
      <c r="A36" s="6"/>
      <c r="E36" s="5">
        <v>34</v>
      </c>
      <c r="F36" s="5">
        <f t="shared" si="1"/>
        <v>34</v>
      </c>
      <c r="G36" s="8">
        <f t="shared" si="4"/>
        <v>0</v>
      </c>
      <c r="H36" s="8">
        <f t="shared" si="5"/>
        <v>584.63763705763517</v>
      </c>
      <c r="I36" s="8">
        <f t="shared" si="2"/>
        <v>15.38550548230541</v>
      </c>
      <c r="J36" s="8">
        <f t="shared" si="3"/>
        <v>400</v>
      </c>
      <c r="K36" s="8">
        <f t="shared" si="6"/>
        <v>0.68418448393627262</v>
      </c>
      <c r="L36" s="8">
        <f t="shared" si="7"/>
        <v>50</v>
      </c>
      <c r="M36" s="8">
        <f t="shared" si="8"/>
        <v>34.209224196813629</v>
      </c>
      <c r="N36" s="8">
        <f t="shared" si="0"/>
        <v>0.34209224196813631</v>
      </c>
      <c r="O36" s="8"/>
      <c r="P36" s="8"/>
      <c r="Q36" s="8"/>
      <c r="R36" s="8"/>
      <c r="S36" s="8"/>
    </row>
    <row r="37" spans="1:19" s="5" customFormat="1" ht="13.2" x14ac:dyDescent="0.3">
      <c r="A37" s="6"/>
      <c r="E37" s="5">
        <v>35</v>
      </c>
      <c r="F37" s="5">
        <f t="shared" si="1"/>
        <v>35</v>
      </c>
      <c r="G37" s="8">
        <f t="shared" si="4"/>
        <v>0</v>
      </c>
      <c r="H37" s="8">
        <f t="shared" si="5"/>
        <v>569.25213157532971</v>
      </c>
      <c r="I37" s="8">
        <f t="shared" si="2"/>
        <v>14.770085263013192</v>
      </c>
      <c r="J37" s="8">
        <f t="shared" si="3"/>
        <v>400</v>
      </c>
      <c r="K37" s="8">
        <f t="shared" si="6"/>
        <v>0.70267633235391336</v>
      </c>
      <c r="L37" s="8">
        <f t="shared" si="7"/>
        <v>50</v>
      </c>
      <c r="M37" s="8">
        <f t="shared" si="8"/>
        <v>35.133816617695665</v>
      </c>
      <c r="N37" s="8">
        <f t="shared" si="0"/>
        <v>0.35133816617695662</v>
      </c>
      <c r="O37" s="8"/>
      <c r="P37" s="8"/>
      <c r="Q37" s="8"/>
      <c r="R37" s="8"/>
      <c r="S37" s="8"/>
    </row>
    <row r="38" spans="1:19" s="5" customFormat="1" ht="13.2" x14ac:dyDescent="0.3">
      <c r="A38" s="6"/>
      <c r="E38" s="5">
        <v>36</v>
      </c>
      <c r="F38" s="5">
        <f t="shared" si="1"/>
        <v>36</v>
      </c>
      <c r="G38" s="8">
        <f t="shared" si="4"/>
        <v>0</v>
      </c>
      <c r="H38" s="8">
        <f t="shared" si="5"/>
        <v>554.48204631231647</v>
      </c>
      <c r="I38" s="8">
        <f t="shared" si="2"/>
        <v>14.179281852492661</v>
      </c>
      <c r="J38" s="8">
        <f t="shared" si="3"/>
        <v>400</v>
      </c>
      <c r="K38" s="8">
        <f t="shared" si="6"/>
        <v>0.72139396155434177</v>
      </c>
      <c r="L38" s="8">
        <f t="shared" si="7"/>
        <v>50</v>
      </c>
      <c r="M38" s="8">
        <f t="shared" si="8"/>
        <v>36.069698077717085</v>
      </c>
      <c r="N38" s="8">
        <f t="shared" si="0"/>
        <v>0.36069698077717083</v>
      </c>
      <c r="O38" s="8"/>
      <c r="P38" s="8"/>
      <c r="Q38" s="8"/>
      <c r="R38" s="8"/>
      <c r="S38" s="8"/>
    </row>
    <row r="39" spans="1:19" s="5" customFormat="1" ht="13.2" x14ac:dyDescent="0.3">
      <c r="A39" s="6"/>
      <c r="E39" s="5">
        <v>37</v>
      </c>
      <c r="F39" s="5">
        <f t="shared" si="1"/>
        <v>37</v>
      </c>
      <c r="G39" s="8">
        <f t="shared" si="4"/>
        <v>0</v>
      </c>
      <c r="H39" s="8">
        <f t="shared" si="5"/>
        <v>540.30276445982383</v>
      </c>
      <c r="I39" s="8">
        <f t="shared" si="2"/>
        <v>13.612110578392953</v>
      </c>
      <c r="J39" s="8">
        <f t="shared" si="3"/>
        <v>400</v>
      </c>
      <c r="K39" s="8">
        <f t="shared" si="6"/>
        <v>0.74032565870712563</v>
      </c>
      <c r="L39" s="8">
        <f t="shared" si="7"/>
        <v>49.999999999999993</v>
      </c>
      <c r="M39" s="8">
        <f t="shared" si="8"/>
        <v>37.01628293535628</v>
      </c>
      <c r="N39" s="8">
        <f t="shared" si="0"/>
        <v>0.37016282935356282</v>
      </c>
      <c r="O39" s="8"/>
      <c r="P39" s="8"/>
      <c r="Q39" s="8"/>
      <c r="R39" s="8"/>
      <c r="S39" s="8"/>
    </row>
    <row r="40" spans="1:19" s="5" customFormat="1" ht="13.2" x14ac:dyDescent="0.3">
      <c r="A40" s="6"/>
      <c r="E40" s="5">
        <v>38</v>
      </c>
      <c r="F40" s="5">
        <f t="shared" si="1"/>
        <v>38</v>
      </c>
      <c r="G40" s="8">
        <f t="shared" si="4"/>
        <v>0</v>
      </c>
      <c r="H40" s="8">
        <f t="shared" si="5"/>
        <v>526.69065388143088</v>
      </c>
      <c r="I40" s="8">
        <f t="shared" si="2"/>
        <v>13.067626155257237</v>
      </c>
      <c r="J40" s="8">
        <f t="shared" si="3"/>
        <v>400</v>
      </c>
      <c r="K40" s="8">
        <f t="shared" si="6"/>
        <v>0.75945908106060378</v>
      </c>
      <c r="L40" s="8">
        <f t="shared" si="7"/>
        <v>50</v>
      </c>
      <c r="M40" s="8">
        <f t="shared" si="8"/>
        <v>37.972954053030186</v>
      </c>
      <c r="N40" s="8">
        <f t="shared" si="0"/>
        <v>0.37972954053030183</v>
      </c>
      <c r="O40" s="8"/>
      <c r="P40" s="8"/>
      <c r="Q40" s="8"/>
      <c r="R40" s="8"/>
      <c r="S40" s="8"/>
    </row>
    <row r="41" spans="1:19" s="5" customFormat="1" ht="13.2" x14ac:dyDescent="0.3">
      <c r="A41" s="6"/>
      <c r="E41" s="5">
        <v>39</v>
      </c>
      <c r="F41" s="5">
        <f t="shared" si="1"/>
        <v>39</v>
      </c>
      <c r="G41" s="8">
        <f t="shared" si="4"/>
        <v>0</v>
      </c>
      <c r="H41" s="8">
        <f t="shared" si="5"/>
        <v>513.62302772617363</v>
      </c>
      <c r="I41" s="8">
        <f t="shared" si="2"/>
        <v>12.544921109046948</v>
      </c>
      <c r="J41" s="8">
        <f t="shared" si="3"/>
        <v>400</v>
      </c>
      <c r="K41" s="8">
        <f t="shared" si="6"/>
        <v>0.77878128200523522</v>
      </c>
      <c r="L41" s="8">
        <f t="shared" si="7"/>
        <v>50</v>
      </c>
      <c r="M41" s="8">
        <f t="shared" si="8"/>
        <v>38.93906410026176</v>
      </c>
      <c r="N41" s="8">
        <f t="shared" si="0"/>
        <v>0.38939064100261761</v>
      </c>
      <c r="O41" s="8"/>
      <c r="P41" s="8"/>
      <c r="Q41" s="8"/>
      <c r="R41" s="8"/>
      <c r="S41" s="8"/>
    </row>
    <row r="42" spans="1:19" s="5" customFormat="1" ht="13.2" x14ac:dyDescent="0.3">
      <c r="A42" s="6"/>
      <c r="E42" s="5">
        <v>40</v>
      </c>
      <c r="F42" s="5">
        <f t="shared" si="1"/>
        <v>40</v>
      </c>
      <c r="G42" s="8">
        <f t="shared" si="4"/>
        <v>0</v>
      </c>
      <c r="H42" s="8">
        <f t="shared" si="5"/>
        <v>501.07810661712671</v>
      </c>
      <c r="I42" s="8">
        <f t="shared" si="2"/>
        <v>12.043124264685069</v>
      </c>
      <c r="J42" s="8">
        <f t="shared" si="3"/>
        <v>400</v>
      </c>
      <c r="K42" s="8">
        <f t="shared" si="6"/>
        <v>0.79827874081443273</v>
      </c>
      <c r="L42" s="8">
        <f t="shared" si="7"/>
        <v>50</v>
      </c>
      <c r="M42" s="8">
        <f t="shared" si="8"/>
        <v>39.913937040721635</v>
      </c>
      <c r="N42" s="8">
        <f t="shared" si="0"/>
        <v>0.39913937040721637</v>
      </c>
      <c r="O42" s="8"/>
      <c r="P42" s="8"/>
      <c r="Q42" s="8"/>
      <c r="R42" s="8"/>
      <c r="S42" s="8"/>
    </row>
    <row r="43" spans="1:19" s="5" customFormat="1" ht="13.2" x14ac:dyDescent="0.3">
      <c r="A43" s="6"/>
      <c r="E43" s="5">
        <v>41</v>
      </c>
      <c r="F43" s="5">
        <f t="shared" si="1"/>
        <v>41</v>
      </c>
      <c r="G43" s="8">
        <f t="shared" si="4"/>
        <v>30.521990012415053</v>
      </c>
      <c r="H43" s="8">
        <f t="shared" si="5"/>
        <v>489.03498235244166</v>
      </c>
      <c r="I43" s="8">
        <f t="shared" si="2"/>
        <v>0</v>
      </c>
      <c r="J43" s="8">
        <f t="shared" si="3"/>
        <v>1600</v>
      </c>
      <c r="K43" s="8">
        <f t="shared" si="6"/>
        <v>3</v>
      </c>
      <c r="L43" s="8">
        <f t="shared" si="7"/>
        <v>54.529159730843787</v>
      </c>
      <c r="M43" s="8">
        <f t="shared" si="8"/>
        <v>163.58747919253136</v>
      </c>
      <c r="N43" s="8">
        <f t="shared" si="0"/>
        <v>1.6358747919253136</v>
      </c>
      <c r="O43" s="8"/>
      <c r="P43" s="8"/>
      <c r="Q43" s="8"/>
      <c r="R43" s="8"/>
      <c r="S43" s="8"/>
    </row>
    <row r="44" spans="1:19" s="5" customFormat="1" ht="13.2" x14ac:dyDescent="0.3">
      <c r="A44" s="6"/>
      <c r="E44" s="5">
        <v>42</v>
      </c>
      <c r="F44" s="5">
        <f t="shared" si="1"/>
        <v>42</v>
      </c>
      <c r="G44" s="8">
        <f t="shared" si="4"/>
        <v>25.909122661207888</v>
      </c>
      <c r="H44" s="8">
        <f t="shared" si="5"/>
        <v>519.55697236485673</v>
      </c>
      <c r="I44" s="8">
        <f t="shared" si="2"/>
        <v>0</v>
      </c>
      <c r="J44" s="8">
        <f t="shared" si="3"/>
        <v>1600</v>
      </c>
      <c r="K44" s="8">
        <f t="shared" si="6"/>
        <v>3</v>
      </c>
      <c r="L44" s="8">
        <f t="shared" si="7"/>
        <v>51.32577962583882</v>
      </c>
      <c r="M44" s="8">
        <f t="shared" si="8"/>
        <v>153.97733887751644</v>
      </c>
      <c r="N44" s="8">
        <f t="shared" si="0"/>
        <v>1.5397733887751643</v>
      </c>
      <c r="O44" s="8"/>
      <c r="P44" s="8"/>
      <c r="Q44" s="8"/>
      <c r="R44" s="8"/>
      <c r="S44" s="8"/>
    </row>
    <row r="45" spans="1:19" s="5" customFormat="1" ht="13.2" x14ac:dyDescent="0.3">
      <c r="A45" s="6"/>
      <c r="E45" s="5">
        <v>43</v>
      </c>
      <c r="F45" s="5">
        <f t="shared" si="1"/>
        <v>43</v>
      </c>
      <c r="G45" s="8">
        <f t="shared" si="4"/>
        <v>22.398509366865564</v>
      </c>
      <c r="H45" s="8">
        <f t="shared" si="5"/>
        <v>545.46609502606464</v>
      </c>
      <c r="I45" s="8">
        <f t="shared" si="2"/>
        <v>0</v>
      </c>
      <c r="J45" s="8">
        <f t="shared" si="3"/>
        <v>1600</v>
      </c>
      <c r="K45" s="8">
        <f t="shared" si="6"/>
        <v>2.933271223619399</v>
      </c>
      <c r="L45" s="8">
        <f t="shared" si="7"/>
        <v>50</v>
      </c>
      <c r="M45" s="8">
        <f t="shared" si="8"/>
        <v>146.66356118096994</v>
      </c>
      <c r="N45" s="8">
        <f t="shared" si="0"/>
        <v>1.4666356118096993</v>
      </c>
      <c r="O45" s="8"/>
      <c r="P45" s="8"/>
      <c r="Q45" s="8"/>
      <c r="R45" s="8"/>
      <c r="S45" s="8"/>
    </row>
    <row r="46" spans="1:19" s="5" customFormat="1" ht="13.2" x14ac:dyDescent="0.3">
      <c r="A46" s="6"/>
      <c r="E46" s="5">
        <v>44</v>
      </c>
      <c r="F46" s="5">
        <f t="shared" si="1"/>
        <v>44</v>
      </c>
      <c r="G46" s="8">
        <f t="shared" si="4"/>
        <v>19.621752972350027</v>
      </c>
      <c r="H46" s="8">
        <f t="shared" si="5"/>
        <v>567.86460439293023</v>
      </c>
      <c r="I46" s="8">
        <f t="shared" si="2"/>
        <v>0</v>
      </c>
      <c r="J46" s="8">
        <f t="shared" si="3"/>
        <v>1600</v>
      </c>
      <c r="K46" s="8">
        <f t="shared" si="6"/>
        <v>2.8175730405145845</v>
      </c>
      <c r="L46" s="8">
        <f t="shared" si="7"/>
        <v>50</v>
      </c>
      <c r="M46" s="8">
        <f t="shared" si="8"/>
        <v>140.87865202572922</v>
      </c>
      <c r="N46" s="8">
        <f t="shared" si="0"/>
        <v>1.4087865202572922</v>
      </c>
      <c r="O46" s="8"/>
      <c r="P46" s="8"/>
      <c r="Q46" s="8"/>
      <c r="R46" s="8"/>
      <c r="S46" s="8"/>
    </row>
    <row r="47" spans="1:19" s="5" customFormat="1" ht="13.2" x14ac:dyDescent="0.3">
      <c r="A47" s="6"/>
      <c r="E47" s="5">
        <v>45</v>
      </c>
      <c r="F47" s="5">
        <f t="shared" si="1"/>
        <v>45</v>
      </c>
      <c r="G47" s="8">
        <f t="shared" si="4"/>
        <v>17.363219960057911</v>
      </c>
      <c r="H47" s="8">
        <f t="shared" si="5"/>
        <v>587.48635736528024</v>
      </c>
      <c r="I47" s="8">
        <f t="shared" si="2"/>
        <v>0</v>
      </c>
      <c r="J47" s="8">
        <f t="shared" si="3"/>
        <v>1600</v>
      </c>
      <c r="K47" s="8">
        <f t="shared" si="6"/>
        <v>2.7234674983357463</v>
      </c>
      <c r="L47" s="8">
        <f t="shared" si="7"/>
        <v>50</v>
      </c>
      <c r="M47" s="8">
        <f t="shared" si="8"/>
        <v>136.17337491678731</v>
      </c>
      <c r="N47" s="8">
        <f t="shared" si="0"/>
        <v>1.3617337491678732</v>
      </c>
      <c r="O47" s="8"/>
      <c r="P47" s="8"/>
      <c r="Q47" s="8"/>
      <c r="R47" s="8"/>
      <c r="S47" s="8"/>
    </row>
    <row r="48" spans="1:19" s="5" customFormat="1" ht="13.2" x14ac:dyDescent="0.3">
      <c r="A48" s="6"/>
      <c r="E48" s="5">
        <v>46</v>
      </c>
      <c r="F48" s="5">
        <f t="shared" si="1"/>
        <v>46</v>
      </c>
      <c r="G48" s="8">
        <f t="shared" si="4"/>
        <v>15.486859277980948</v>
      </c>
      <c r="H48" s="8">
        <f t="shared" si="5"/>
        <v>604.84957732533815</v>
      </c>
      <c r="I48" s="8">
        <f t="shared" si="2"/>
        <v>0</v>
      </c>
      <c r="J48" s="8">
        <f t="shared" si="3"/>
        <v>1600</v>
      </c>
      <c r="K48" s="8">
        <f t="shared" si="6"/>
        <v>2.6452858032492061</v>
      </c>
      <c r="L48" s="8">
        <f t="shared" si="7"/>
        <v>50</v>
      </c>
      <c r="M48" s="8">
        <f t="shared" si="8"/>
        <v>132.2642901624603</v>
      </c>
      <c r="N48" s="8">
        <f t="shared" si="0"/>
        <v>1.3226429016246031</v>
      </c>
      <c r="O48" s="8"/>
      <c r="P48" s="8"/>
      <c r="Q48" s="8"/>
      <c r="R48" s="8"/>
      <c r="S48" s="8"/>
    </row>
    <row r="49" spans="1:19" s="5" customFormat="1" ht="13.2" x14ac:dyDescent="0.3">
      <c r="A49" s="6"/>
      <c r="E49" s="5">
        <v>47</v>
      </c>
      <c r="F49" s="5">
        <f t="shared" si="1"/>
        <v>47</v>
      </c>
      <c r="G49" s="8">
        <f t="shared" si="4"/>
        <v>13.901893447144566</v>
      </c>
      <c r="H49" s="8">
        <f t="shared" si="5"/>
        <v>620.33643660331904</v>
      </c>
      <c r="I49" s="8">
        <f t="shared" si="2"/>
        <v>0</v>
      </c>
      <c r="J49" s="8">
        <f t="shared" si="3"/>
        <v>1600</v>
      </c>
      <c r="K49" s="8">
        <f t="shared" si="6"/>
        <v>2.5792455602976898</v>
      </c>
      <c r="L49" s="8">
        <f t="shared" si="7"/>
        <v>50</v>
      </c>
      <c r="M49" s="8">
        <f t="shared" si="8"/>
        <v>128.9622780148845</v>
      </c>
      <c r="N49" s="8">
        <f t="shared" si="0"/>
        <v>1.2896227801488451</v>
      </c>
      <c r="O49" s="8"/>
      <c r="P49" s="8"/>
      <c r="Q49" s="8"/>
      <c r="R49" s="8"/>
      <c r="S49" s="8"/>
    </row>
    <row r="50" spans="1:19" s="5" customFormat="1" ht="13.2" x14ac:dyDescent="0.3">
      <c r="A50" s="6"/>
      <c r="E50" s="5">
        <v>48</v>
      </c>
      <c r="F50" s="5">
        <f t="shared" si="1"/>
        <v>48</v>
      </c>
      <c r="G50" s="8">
        <f t="shared" si="4"/>
        <v>12.545063551968994</v>
      </c>
      <c r="H50" s="8">
        <f t="shared" si="5"/>
        <v>634.23833005046356</v>
      </c>
      <c r="I50" s="8">
        <f t="shared" si="2"/>
        <v>0</v>
      </c>
      <c r="J50" s="8">
        <f t="shared" si="3"/>
        <v>1600</v>
      </c>
      <c r="K50" s="8">
        <f t="shared" si="6"/>
        <v>2.5227109813320414</v>
      </c>
      <c r="L50" s="8">
        <f t="shared" si="7"/>
        <v>50</v>
      </c>
      <c r="M50" s="8">
        <f t="shared" si="8"/>
        <v>126.13554906660207</v>
      </c>
      <c r="N50" s="8">
        <f t="shared" si="0"/>
        <v>1.2613554906660207</v>
      </c>
      <c r="O50" s="8"/>
      <c r="P50" s="8"/>
      <c r="Q50" s="8"/>
      <c r="R50" s="8"/>
      <c r="S50" s="8"/>
    </row>
    <row r="51" spans="1:19" s="5" customFormat="1" ht="13.2" x14ac:dyDescent="0.3">
      <c r="A51" s="6"/>
      <c r="E51" s="5">
        <v>49</v>
      </c>
      <c r="F51" s="5">
        <f t="shared" si="1"/>
        <v>49</v>
      </c>
      <c r="G51" s="8">
        <f t="shared" si="4"/>
        <v>11.37072655208566</v>
      </c>
      <c r="H51" s="8">
        <f t="shared" si="5"/>
        <v>646.78339360243251</v>
      </c>
      <c r="I51" s="8">
        <f t="shared" si="2"/>
        <v>0</v>
      </c>
      <c r="J51" s="8">
        <f t="shared" si="3"/>
        <v>1600</v>
      </c>
      <c r="K51" s="8">
        <f t="shared" si="6"/>
        <v>2.4737802730035683</v>
      </c>
      <c r="L51" s="8">
        <f t="shared" si="7"/>
        <v>50.000000000000014</v>
      </c>
      <c r="M51" s="8">
        <f t="shared" si="8"/>
        <v>123.68901365017845</v>
      </c>
      <c r="N51" s="8">
        <f t="shared" si="0"/>
        <v>1.2368901365017846</v>
      </c>
      <c r="O51" s="8"/>
      <c r="P51" s="8"/>
      <c r="Q51" s="8"/>
      <c r="R51" s="8"/>
      <c r="S51" s="8"/>
    </row>
    <row r="52" spans="1:19" s="5" customFormat="1" ht="13.2" x14ac:dyDescent="0.3">
      <c r="A52" s="6"/>
      <c r="E52" s="5">
        <v>50</v>
      </c>
      <c r="F52" s="5">
        <f t="shared" si="1"/>
        <v>50</v>
      </c>
      <c r="G52" s="8">
        <f t="shared" si="4"/>
        <v>10.34499674785085</v>
      </c>
      <c r="H52" s="8">
        <f t="shared" si="5"/>
        <v>658.15412015451818</v>
      </c>
      <c r="I52" s="8">
        <f t="shared" si="2"/>
        <v>0</v>
      </c>
      <c r="J52" s="8">
        <f t="shared" si="3"/>
        <v>1600</v>
      </c>
      <c r="K52" s="8">
        <f t="shared" si="6"/>
        <v>2.4310415311604521</v>
      </c>
      <c r="L52" s="8">
        <f t="shared" si="7"/>
        <v>50</v>
      </c>
      <c r="M52" s="8">
        <f t="shared" si="8"/>
        <v>121.55207655802261</v>
      </c>
      <c r="N52" s="8">
        <f t="shared" si="0"/>
        <v>1.215520765580226</v>
      </c>
      <c r="O52" s="8"/>
      <c r="P52" s="8"/>
      <c r="Q52" s="8"/>
      <c r="R52" s="8"/>
      <c r="S52" s="8"/>
    </row>
    <row r="53" spans="1:19" s="5" customFormat="1" ht="13.2" x14ac:dyDescent="0.3">
      <c r="A53" s="6"/>
      <c r="E53" s="5">
        <v>51</v>
      </c>
      <c r="F53" s="5">
        <f t="shared" si="1"/>
        <v>51</v>
      </c>
      <c r="G53" s="8">
        <f t="shared" si="4"/>
        <v>0</v>
      </c>
      <c r="H53" s="8">
        <f t="shared" si="5"/>
        <v>668.499116902369</v>
      </c>
      <c r="I53" s="8">
        <f t="shared" si="2"/>
        <v>18.739964676094761</v>
      </c>
      <c r="J53" s="8">
        <f t="shared" si="3"/>
        <v>400</v>
      </c>
      <c r="K53" s="8">
        <f t="shared" si="6"/>
        <v>0.59835531549164045</v>
      </c>
      <c r="L53" s="8">
        <f t="shared" si="7"/>
        <v>49.999999999999993</v>
      </c>
      <c r="M53" s="8">
        <f t="shared" si="8"/>
        <v>29.917765774582019</v>
      </c>
      <c r="N53" s="8">
        <f t="shared" si="0"/>
        <v>0.29917765774582017</v>
      </c>
      <c r="O53" s="8"/>
      <c r="P53" s="8"/>
      <c r="Q53" s="8"/>
      <c r="R53" s="8"/>
      <c r="S53" s="8"/>
    </row>
    <row r="54" spans="1:19" s="5" customFormat="1" ht="13.2" x14ac:dyDescent="0.3">
      <c r="A54" s="6"/>
      <c r="E54" s="5">
        <v>52</v>
      </c>
      <c r="F54" s="5">
        <f t="shared" si="1"/>
        <v>52</v>
      </c>
      <c r="G54" s="8">
        <f t="shared" si="4"/>
        <v>0</v>
      </c>
      <c r="H54" s="8">
        <f t="shared" si="5"/>
        <v>649.75915222627418</v>
      </c>
      <c r="I54" s="8">
        <f t="shared" si="2"/>
        <v>17.990366089050969</v>
      </c>
      <c r="J54" s="8">
        <f t="shared" si="3"/>
        <v>400</v>
      </c>
      <c r="K54" s="8">
        <f t="shared" si="6"/>
        <v>0.61561272146683477</v>
      </c>
      <c r="L54" s="8">
        <f t="shared" si="7"/>
        <v>50</v>
      </c>
      <c r="M54" s="8">
        <f t="shared" si="8"/>
        <v>30.780636073341739</v>
      </c>
      <c r="N54" s="8">
        <f t="shared" si="0"/>
        <v>0.30780636073341738</v>
      </c>
      <c r="O54" s="8"/>
      <c r="P54" s="8"/>
      <c r="Q54" s="8"/>
      <c r="R54" s="8"/>
      <c r="S54" s="8"/>
    </row>
    <row r="55" spans="1:19" s="5" customFormat="1" ht="13.2" x14ac:dyDescent="0.3">
      <c r="A55" s="6"/>
      <c r="E55" s="5">
        <v>53</v>
      </c>
      <c r="F55" s="5">
        <f t="shared" si="1"/>
        <v>53</v>
      </c>
      <c r="G55" s="8">
        <f t="shared" si="4"/>
        <v>0</v>
      </c>
      <c r="H55" s="8">
        <f t="shared" si="5"/>
        <v>631.76878613722317</v>
      </c>
      <c r="I55" s="8">
        <f t="shared" si="2"/>
        <v>17.270751445488926</v>
      </c>
      <c r="J55" s="8">
        <f t="shared" si="3"/>
        <v>400</v>
      </c>
      <c r="K55" s="8">
        <f t="shared" si="6"/>
        <v>0.63314302443729487</v>
      </c>
      <c r="L55" s="8">
        <f t="shared" si="7"/>
        <v>50</v>
      </c>
      <c r="M55" s="8">
        <f t="shared" si="8"/>
        <v>31.657151221864744</v>
      </c>
      <c r="N55" s="8">
        <f t="shared" si="0"/>
        <v>0.31657151221864743</v>
      </c>
      <c r="O55" s="8"/>
      <c r="P55" s="8"/>
      <c r="Q55" s="8"/>
      <c r="R55" s="8"/>
      <c r="S55" s="8"/>
    </row>
    <row r="56" spans="1:19" s="5" customFormat="1" ht="13.2" x14ac:dyDescent="0.3">
      <c r="A56" s="6"/>
      <c r="E56" s="5">
        <v>54</v>
      </c>
      <c r="F56" s="5">
        <f t="shared" si="1"/>
        <v>54</v>
      </c>
      <c r="G56" s="8">
        <f t="shared" si="4"/>
        <v>0</v>
      </c>
      <c r="H56" s="8">
        <f t="shared" si="5"/>
        <v>614.49803469173423</v>
      </c>
      <c r="I56" s="8">
        <f t="shared" si="2"/>
        <v>16.579921387669369</v>
      </c>
      <c r="J56" s="8">
        <f t="shared" si="3"/>
        <v>400</v>
      </c>
      <c r="K56" s="8">
        <f t="shared" si="6"/>
        <v>0.65093780194213613</v>
      </c>
      <c r="L56" s="8">
        <f t="shared" si="7"/>
        <v>50</v>
      </c>
      <c r="M56" s="8">
        <f t="shared" si="8"/>
        <v>32.546890097106804</v>
      </c>
      <c r="N56" s="8">
        <f t="shared" si="0"/>
        <v>0.32546890097106806</v>
      </c>
      <c r="O56" s="8"/>
      <c r="P56" s="8"/>
      <c r="Q56" s="8"/>
      <c r="R56" s="8"/>
      <c r="S56" s="8"/>
    </row>
    <row r="57" spans="1:19" s="5" customFormat="1" ht="13.2" x14ac:dyDescent="0.3">
      <c r="A57" s="6"/>
      <c r="E57" s="5">
        <v>55</v>
      </c>
      <c r="F57" s="5">
        <f t="shared" si="1"/>
        <v>55</v>
      </c>
      <c r="G57" s="8">
        <f t="shared" si="4"/>
        <v>0</v>
      </c>
      <c r="H57" s="8">
        <f t="shared" si="5"/>
        <v>597.91811330406483</v>
      </c>
      <c r="I57" s="8">
        <f t="shared" si="2"/>
        <v>15.916724532162593</v>
      </c>
      <c r="J57" s="8">
        <f t="shared" si="3"/>
        <v>400</v>
      </c>
      <c r="K57" s="8">
        <f t="shared" si="6"/>
        <v>0.6689879284466238</v>
      </c>
      <c r="L57" s="8">
        <f t="shared" si="7"/>
        <v>50</v>
      </c>
      <c r="M57" s="8">
        <f t="shared" si="8"/>
        <v>33.449396422331191</v>
      </c>
      <c r="N57" s="8">
        <f t="shared" si="0"/>
        <v>0.3344939642233119</v>
      </c>
      <c r="O57" s="8"/>
      <c r="P57" s="8"/>
      <c r="Q57" s="8"/>
      <c r="R57" s="8"/>
      <c r="S57" s="8"/>
    </row>
    <row r="58" spans="1:19" s="5" customFormat="1" ht="13.2" x14ac:dyDescent="0.3">
      <c r="A58" s="6"/>
      <c r="E58" s="5">
        <v>56</v>
      </c>
      <c r="F58" s="5">
        <f t="shared" si="1"/>
        <v>56</v>
      </c>
      <c r="G58" s="8">
        <f t="shared" si="4"/>
        <v>0</v>
      </c>
      <c r="H58" s="8">
        <f t="shared" si="5"/>
        <v>582.00138877190227</v>
      </c>
      <c r="I58" s="8">
        <f t="shared" si="2"/>
        <v>15.28005555087609</v>
      </c>
      <c r="J58" s="8">
        <f t="shared" si="3"/>
        <v>400</v>
      </c>
      <c r="K58" s="8">
        <f t="shared" si="6"/>
        <v>0.68728358336747508</v>
      </c>
      <c r="L58" s="8">
        <f t="shared" si="7"/>
        <v>50.000000000000014</v>
      </c>
      <c r="M58" s="8">
        <f t="shared" si="8"/>
        <v>34.364179168373767</v>
      </c>
      <c r="N58" s="8">
        <f t="shared" si="0"/>
        <v>0.34364179168373765</v>
      </c>
      <c r="O58" s="8"/>
      <c r="P58" s="8"/>
      <c r="Q58" s="8"/>
      <c r="R58" s="8"/>
      <c r="S58" s="8"/>
    </row>
    <row r="59" spans="1:19" s="5" customFormat="1" ht="13.2" x14ac:dyDescent="0.3">
      <c r="A59" s="6"/>
      <c r="E59" s="5">
        <v>57</v>
      </c>
      <c r="F59" s="5">
        <f t="shared" si="1"/>
        <v>57</v>
      </c>
      <c r="G59" s="8">
        <f t="shared" si="4"/>
        <v>0</v>
      </c>
      <c r="H59" s="8">
        <f t="shared" si="5"/>
        <v>566.72133322102616</v>
      </c>
      <c r="I59" s="8">
        <f t="shared" si="2"/>
        <v>14.668853328841044</v>
      </c>
      <c r="J59" s="8">
        <f t="shared" si="3"/>
        <v>400</v>
      </c>
      <c r="K59" s="8">
        <f t="shared" si="6"/>
        <v>0.70581426276394754</v>
      </c>
      <c r="L59" s="8">
        <f t="shared" si="7"/>
        <v>49.999999999999993</v>
      </c>
      <c r="M59" s="8">
        <f t="shared" si="8"/>
        <v>35.290713138197376</v>
      </c>
      <c r="N59" s="8">
        <f t="shared" si="0"/>
        <v>0.35290713138197377</v>
      </c>
      <c r="O59" s="8"/>
      <c r="P59" s="8"/>
      <c r="Q59" s="8"/>
      <c r="R59" s="8"/>
      <c r="S59" s="8"/>
    </row>
    <row r="60" spans="1:19" s="5" customFormat="1" ht="13.2" x14ac:dyDescent="0.3">
      <c r="A60" s="6"/>
      <c r="E60" s="5">
        <v>58</v>
      </c>
      <c r="F60" s="5">
        <f t="shared" si="1"/>
        <v>58</v>
      </c>
      <c r="G60" s="8">
        <f t="shared" si="4"/>
        <v>0</v>
      </c>
      <c r="H60" s="8">
        <f t="shared" si="5"/>
        <v>552.05247989218515</v>
      </c>
      <c r="I60" s="8">
        <f t="shared" si="2"/>
        <v>14.082099195687405</v>
      </c>
      <c r="J60" s="8">
        <f t="shared" si="3"/>
        <v>400</v>
      </c>
      <c r="K60" s="8">
        <f t="shared" si="6"/>
        <v>0.72456879476045333</v>
      </c>
      <c r="L60" s="8">
        <f t="shared" si="7"/>
        <v>50</v>
      </c>
      <c r="M60" s="8">
        <f t="shared" si="8"/>
        <v>36.228439738022665</v>
      </c>
      <c r="N60" s="8">
        <f t="shared" si="0"/>
        <v>0.36228439738022666</v>
      </c>
      <c r="O60" s="8"/>
      <c r="P60" s="8"/>
      <c r="Q60" s="8"/>
      <c r="R60" s="8"/>
      <c r="S60" s="8"/>
    </row>
    <row r="61" spans="1:19" s="5" customFormat="1" ht="13.2" x14ac:dyDescent="0.3">
      <c r="A61" s="6"/>
      <c r="E61" s="5">
        <v>59</v>
      </c>
      <c r="F61" s="5">
        <f t="shared" si="1"/>
        <v>59</v>
      </c>
      <c r="G61" s="8">
        <f t="shared" si="4"/>
        <v>0</v>
      </c>
      <c r="H61" s="8">
        <f t="shared" si="5"/>
        <v>537.97038069649773</v>
      </c>
      <c r="I61" s="8">
        <f t="shared" si="2"/>
        <v>13.518815227859909</v>
      </c>
      <c r="J61" s="8">
        <f t="shared" si="3"/>
        <v>400</v>
      </c>
      <c r="K61" s="8">
        <f t="shared" si="6"/>
        <v>0.7435353587350465</v>
      </c>
      <c r="L61" s="8">
        <f t="shared" si="7"/>
        <v>50</v>
      </c>
      <c r="M61" s="8">
        <f t="shared" si="8"/>
        <v>37.176767936752327</v>
      </c>
      <c r="N61" s="8">
        <f t="shared" si="0"/>
        <v>0.37176767936752325</v>
      </c>
      <c r="O61" s="8"/>
      <c r="P61" s="8"/>
      <c r="Q61" s="8"/>
      <c r="R61" s="8"/>
      <c r="S61" s="8"/>
    </row>
    <row r="62" spans="1:19" s="5" customFormat="1" ht="13.2" x14ac:dyDescent="0.3">
      <c r="A62" s="6"/>
      <c r="E62" s="5">
        <v>60</v>
      </c>
      <c r="F62" s="5">
        <f t="shared" si="1"/>
        <v>60</v>
      </c>
      <c r="G62" s="8">
        <f t="shared" si="4"/>
        <v>0</v>
      </c>
      <c r="H62" s="8">
        <f t="shared" si="5"/>
        <v>524.4515654686378</v>
      </c>
      <c r="I62" s="8">
        <f t="shared" si="2"/>
        <v>12.978062618745511</v>
      </c>
      <c r="J62" s="8">
        <f t="shared" si="3"/>
        <v>400</v>
      </c>
      <c r="K62" s="8">
        <f t="shared" si="6"/>
        <v>0.76270150827478078</v>
      </c>
      <c r="L62" s="8">
        <f t="shared" si="7"/>
        <v>50</v>
      </c>
      <c r="M62" s="8">
        <f t="shared" si="8"/>
        <v>38.135075413739038</v>
      </c>
      <c r="N62" s="8">
        <f t="shared" si="0"/>
        <v>0.38135075413739039</v>
      </c>
      <c r="O62" s="8"/>
      <c r="P62" s="8"/>
      <c r="Q62" s="8"/>
      <c r="R62" s="8"/>
      <c r="S62" s="8"/>
    </row>
    <row r="63" spans="1:19" s="5" customFormat="1" ht="13.2" x14ac:dyDescent="0.3">
      <c r="A63" s="6"/>
      <c r="E63" s="5">
        <v>61</v>
      </c>
      <c r="F63" s="5">
        <f t="shared" si="1"/>
        <v>61</v>
      </c>
      <c r="G63" s="8">
        <f t="shared" si="4"/>
        <v>27.077202994950969</v>
      </c>
      <c r="H63" s="8">
        <f t="shared" si="5"/>
        <v>511.47350284989227</v>
      </c>
      <c r="I63" s="8">
        <f t="shared" si="2"/>
        <v>0</v>
      </c>
      <c r="J63" s="8">
        <f t="shared" si="3"/>
        <v>1600</v>
      </c>
      <c r="K63" s="8">
        <f t="shared" si="6"/>
        <v>3</v>
      </c>
      <c r="L63" s="8">
        <f t="shared" si="7"/>
        <v>52.136946524271508</v>
      </c>
      <c r="M63" s="8">
        <f t="shared" si="8"/>
        <v>156.41083957281452</v>
      </c>
      <c r="N63" s="8">
        <f t="shared" si="0"/>
        <v>1.5641083957281452</v>
      </c>
      <c r="O63" s="8"/>
      <c r="P63" s="8"/>
      <c r="Q63" s="8"/>
      <c r="R63" s="8"/>
      <c r="S63" s="8"/>
    </row>
    <row r="64" spans="1:19" s="5" customFormat="1" ht="13.2" x14ac:dyDescent="0.3">
      <c r="A64" s="6"/>
      <c r="E64" s="5">
        <v>62</v>
      </c>
      <c r="F64" s="5">
        <f t="shared" si="1"/>
        <v>62</v>
      </c>
      <c r="G64" s="8">
        <f t="shared" si="4"/>
        <v>23.302478268523632</v>
      </c>
      <c r="H64" s="8">
        <f t="shared" si="5"/>
        <v>538.55070584484326</v>
      </c>
      <c r="I64" s="8">
        <f t="shared" si="2"/>
        <v>0</v>
      </c>
      <c r="J64" s="8">
        <f t="shared" si="3"/>
        <v>1600</v>
      </c>
      <c r="K64" s="8">
        <f t="shared" si="6"/>
        <v>2.970936594521818</v>
      </c>
      <c r="L64" s="8">
        <f t="shared" si="7"/>
        <v>50</v>
      </c>
      <c r="M64" s="8">
        <f t="shared" si="8"/>
        <v>148.54682972609089</v>
      </c>
      <c r="N64" s="8">
        <f t="shared" si="0"/>
        <v>1.485468297260909</v>
      </c>
      <c r="O64" s="8"/>
      <c r="P64" s="8"/>
      <c r="Q64" s="8"/>
      <c r="R64" s="8"/>
      <c r="S64" s="8"/>
    </row>
    <row r="65" spans="1:19" s="5" customFormat="1" ht="13.2" x14ac:dyDescent="0.3">
      <c r="A65" s="6"/>
      <c r="E65" s="5">
        <v>63</v>
      </c>
      <c r="F65" s="5">
        <f t="shared" si="1"/>
        <v>63</v>
      </c>
      <c r="G65" s="8">
        <f t="shared" si="4"/>
        <v>20.345256529242903</v>
      </c>
      <c r="H65" s="8">
        <f t="shared" si="5"/>
        <v>561.85318411336686</v>
      </c>
      <c r="I65" s="8">
        <f t="shared" si="2"/>
        <v>0</v>
      </c>
      <c r="J65" s="8">
        <f t="shared" si="3"/>
        <v>1600</v>
      </c>
      <c r="K65" s="8">
        <f t="shared" si="6"/>
        <v>2.8477190220517876</v>
      </c>
      <c r="L65" s="8">
        <f t="shared" si="7"/>
        <v>50</v>
      </c>
      <c r="M65" s="8">
        <f t="shared" si="8"/>
        <v>142.38595110258939</v>
      </c>
      <c r="N65" s="8">
        <f t="shared" si="0"/>
        <v>1.4238595110258938</v>
      </c>
      <c r="O65" s="8"/>
      <c r="P65" s="8"/>
      <c r="Q65" s="8"/>
      <c r="R65" s="8"/>
      <c r="S65" s="8"/>
    </row>
    <row r="66" spans="1:19" s="5" customFormat="1" ht="13.2" x14ac:dyDescent="0.3">
      <c r="A66" s="6"/>
      <c r="E66" s="5">
        <v>64</v>
      </c>
      <c r="F66" s="5">
        <f t="shared" si="1"/>
        <v>64</v>
      </c>
      <c r="G66" s="8">
        <f t="shared" si="4"/>
        <v>17.956892563325074</v>
      </c>
      <c r="H66" s="8">
        <f t="shared" si="5"/>
        <v>582.19844064260974</v>
      </c>
      <c r="I66" s="8">
        <f t="shared" si="2"/>
        <v>0</v>
      </c>
      <c r="J66" s="8">
        <f t="shared" si="3"/>
        <v>1600</v>
      </c>
      <c r="K66" s="8">
        <f t="shared" si="6"/>
        <v>2.7482038568052114</v>
      </c>
      <c r="L66" s="8">
        <f t="shared" si="7"/>
        <v>50</v>
      </c>
      <c r="M66" s="8">
        <f t="shared" si="8"/>
        <v>137.41019284026058</v>
      </c>
      <c r="N66" s="8">
        <f t="shared" ref="N66:N129" si="9">M66/$B$10</f>
        <v>1.3741019284026057</v>
      </c>
      <c r="O66" s="8"/>
      <c r="P66" s="8"/>
      <c r="Q66" s="8"/>
      <c r="R66" s="8"/>
      <c r="S66" s="8"/>
    </row>
    <row r="67" spans="1:19" s="5" customFormat="1" ht="13.2" x14ac:dyDescent="0.3">
      <c r="A67" s="6"/>
      <c r="E67" s="5">
        <v>65</v>
      </c>
      <c r="F67" s="5">
        <f t="shared" ref="F67:F130" si="10">E67*$B$2</f>
        <v>65</v>
      </c>
      <c r="G67" s="8">
        <f t="shared" si="4"/>
        <v>15.983435413084262</v>
      </c>
      <c r="H67" s="8">
        <f t="shared" si="5"/>
        <v>600.15533320593477</v>
      </c>
      <c r="I67" s="8">
        <f t="shared" ref="I67:I130" si="11">H67*$B$5*$B$2*MAX(0,1-N67)</f>
        <v>0</v>
      </c>
      <c r="J67" s="8">
        <f t="shared" ref="J67:J130" si="12">IF(F67&lt;=10,$B$6,IF(F67&lt;=20,$B$6-$B$6*$B$12,IF(F67&lt;=30,$B$6+$B$6*$B$12,IF(F67&lt;=40,$B$6-$B$6*$B$12,IF(F67&lt;=50,$B$6+$B$6*$B$12,IF(F67&lt;=60,$B$6-$B$6*$B$12,IF(F67&lt;=70,$B$6+$B$6*$B$12,IF(F67&lt;=80,$B$6-$B$6*$B$12,IF(F67&lt;=90,$B$6+$B$6*$B$12,IF(F67&lt;=100,$B$6-$B$6*$B$12,IF(F67&lt;=110,$B$6+$B$6*$B$12,IF(F67&lt;=120,$B$6-$B$6*$B$12,IF(F67&lt;=130,$B$6+$B$6*$B$12,IF(F67&lt;=140,$B$6-$B$6*$B$12,IF(F67&lt;=150,$B$6+$B$6*$B$12,IF(F67&lt;=160,$B$6-$B$6*$B$12,IF(F67&lt;=170,$B$6+$B$6*$B$12,IF(F67&lt;=180,$B$6-$B$6*$B$12,IF(F67&lt;=190,$B$6+$B$6*$B$12,IF(F67&lt;=200,$B$6-$B$6*$B$12,$B$6))))))))))))))))))))</f>
        <v>1600</v>
      </c>
      <c r="K67" s="8">
        <f t="shared" si="6"/>
        <v>2.665976475545178</v>
      </c>
      <c r="L67" s="8">
        <f t="shared" si="7"/>
        <v>50</v>
      </c>
      <c r="M67" s="8">
        <f t="shared" si="8"/>
        <v>133.29882377725889</v>
      </c>
      <c r="N67" s="8">
        <f t="shared" si="9"/>
        <v>1.3329882377725888</v>
      </c>
      <c r="O67" s="8"/>
      <c r="P67" s="8"/>
      <c r="Q67" s="8"/>
      <c r="R67" s="8"/>
      <c r="S67" s="8"/>
    </row>
    <row r="68" spans="1:19" s="5" customFormat="1" ht="13.2" x14ac:dyDescent="0.3">
      <c r="A68" s="6"/>
      <c r="E68" s="5">
        <v>66</v>
      </c>
      <c r="F68" s="5">
        <f t="shared" si="10"/>
        <v>66</v>
      </c>
      <c r="G68" s="8">
        <f t="shared" ref="G68:G131" si="13">MAX(0,IF(N68&gt;=1,J68*$B$4*$B$2*(N68-1),0))</f>
        <v>14.32362246262759</v>
      </c>
      <c r="H68" s="8">
        <f t="shared" ref="H68:H131" si="14">H67+(G67-I67)</f>
        <v>616.13876861901906</v>
      </c>
      <c r="I68" s="8">
        <f t="shared" si="11"/>
        <v>0</v>
      </c>
      <c r="J68" s="8">
        <f t="shared" si="12"/>
        <v>1600</v>
      </c>
      <c r="K68" s="8">
        <f t="shared" ref="K68:K131" si="15">MIN($B$11,J68/H68)</f>
        <v>2.5968176026094829</v>
      </c>
      <c r="L68" s="8">
        <f t="shared" ref="L68:L131" si="16">$B$8*(J68/(H68*K68))</f>
        <v>50</v>
      </c>
      <c r="M68" s="8">
        <f t="shared" ref="M68:M131" si="17">K68*L68</f>
        <v>129.84088013047415</v>
      </c>
      <c r="N68" s="8">
        <f t="shared" si="9"/>
        <v>1.2984088013047415</v>
      </c>
      <c r="O68" s="8"/>
      <c r="P68" s="8"/>
      <c r="Q68" s="8"/>
      <c r="R68" s="8"/>
      <c r="S68" s="8"/>
    </row>
    <row r="69" spans="1:19" s="5" customFormat="1" ht="13.2" x14ac:dyDescent="0.3">
      <c r="A69" s="6"/>
      <c r="E69" s="5">
        <v>67</v>
      </c>
      <c r="F69" s="5">
        <f t="shared" si="10"/>
        <v>67</v>
      </c>
      <c r="G69" s="8">
        <f t="shared" si="13"/>
        <v>12.90767751287974</v>
      </c>
      <c r="H69" s="8">
        <f t="shared" si="14"/>
        <v>630.46239108164662</v>
      </c>
      <c r="I69" s="8">
        <f t="shared" si="11"/>
        <v>0</v>
      </c>
      <c r="J69" s="8">
        <f t="shared" si="12"/>
        <v>1600</v>
      </c>
      <c r="K69" s="8">
        <f t="shared" si="15"/>
        <v>2.5378198963699892</v>
      </c>
      <c r="L69" s="8">
        <f t="shared" si="16"/>
        <v>50</v>
      </c>
      <c r="M69" s="8">
        <f t="shared" si="17"/>
        <v>126.89099481849946</v>
      </c>
      <c r="N69" s="8">
        <f t="shared" si="9"/>
        <v>1.2689099481849946</v>
      </c>
      <c r="O69" s="8"/>
      <c r="P69" s="8"/>
      <c r="Q69" s="8"/>
      <c r="R69" s="8"/>
      <c r="S69" s="8"/>
    </row>
    <row r="70" spans="1:19" s="5" customFormat="1" ht="13.2" x14ac:dyDescent="0.3">
      <c r="A70" s="6"/>
      <c r="E70" s="5">
        <v>68</v>
      </c>
      <c r="F70" s="5">
        <f t="shared" si="10"/>
        <v>68</v>
      </c>
      <c r="G70" s="8">
        <f t="shared" si="13"/>
        <v>11.685711030801745</v>
      </c>
      <c r="H70" s="8">
        <f t="shared" si="14"/>
        <v>643.3700685945264</v>
      </c>
      <c r="I70" s="8">
        <f t="shared" si="11"/>
        <v>0</v>
      </c>
      <c r="J70" s="8">
        <f t="shared" si="12"/>
        <v>1600</v>
      </c>
      <c r="K70" s="8">
        <f t="shared" si="15"/>
        <v>2.486904626283406</v>
      </c>
      <c r="L70" s="8">
        <f t="shared" si="16"/>
        <v>50</v>
      </c>
      <c r="M70" s="8">
        <f t="shared" si="17"/>
        <v>124.34523131417031</v>
      </c>
      <c r="N70" s="8">
        <f t="shared" si="9"/>
        <v>1.243452313141703</v>
      </c>
      <c r="O70" s="8"/>
      <c r="P70" s="8"/>
      <c r="Q70" s="8"/>
      <c r="R70" s="8"/>
      <c r="S70" s="8"/>
    </row>
    <row r="71" spans="1:19" s="5" customFormat="1" ht="13.2" x14ac:dyDescent="0.3">
      <c r="A71" s="6"/>
      <c r="E71" s="5">
        <v>69</v>
      </c>
      <c r="F71" s="5">
        <f t="shared" si="10"/>
        <v>69</v>
      </c>
      <c r="G71" s="8">
        <f t="shared" si="13"/>
        <v>10.620962052977578</v>
      </c>
      <c r="H71" s="8">
        <f t="shared" si="14"/>
        <v>655.05577962532811</v>
      </c>
      <c r="I71" s="8">
        <f t="shared" si="11"/>
        <v>0</v>
      </c>
      <c r="J71" s="8">
        <f t="shared" si="12"/>
        <v>1600</v>
      </c>
      <c r="K71" s="8">
        <f t="shared" si="15"/>
        <v>2.4425400855407324</v>
      </c>
      <c r="L71" s="8">
        <f t="shared" si="16"/>
        <v>50</v>
      </c>
      <c r="M71" s="8">
        <f t="shared" si="17"/>
        <v>122.12700427703662</v>
      </c>
      <c r="N71" s="8">
        <f t="shared" si="9"/>
        <v>1.2212700427703662</v>
      </c>
      <c r="O71" s="8"/>
      <c r="P71" s="8"/>
      <c r="Q71" s="8"/>
      <c r="R71" s="8"/>
      <c r="S71" s="8"/>
    </row>
    <row r="72" spans="1:19" s="5" customFormat="1" ht="13.2" x14ac:dyDescent="0.3">
      <c r="A72" s="6"/>
      <c r="E72" s="5">
        <v>70</v>
      </c>
      <c r="F72" s="5">
        <f t="shared" si="10"/>
        <v>70</v>
      </c>
      <c r="G72" s="8">
        <f t="shared" si="13"/>
        <v>9.6856567095702282</v>
      </c>
      <c r="H72" s="8">
        <f t="shared" si="14"/>
        <v>665.67674167830569</v>
      </c>
      <c r="I72" s="8">
        <f t="shared" si="11"/>
        <v>0</v>
      </c>
      <c r="J72" s="8">
        <f t="shared" si="12"/>
        <v>1600</v>
      </c>
      <c r="K72" s="8">
        <f t="shared" si="15"/>
        <v>2.4035690295654262</v>
      </c>
      <c r="L72" s="8">
        <f t="shared" si="16"/>
        <v>50</v>
      </c>
      <c r="M72" s="8">
        <f t="shared" si="17"/>
        <v>120.17845147827131</v>
      </c>
      <c r="N72" s="8">
        <f t="shared" si="9"/>
        <v>1.2017845147827131</v>
      </c>
      <c r="O72" s="8"/>
      <c r="P72" s="8"/>
      <c r="Q72" s="8"/>
      <c r="R72" s="8"/>
      <c r="S72" s="8"/>
    </row>
    <row r="73" spans="1:19" s="5" customFormat="1" ht="13.2" x14ac:dyDescent="0.3">
      <c r="A73" s="6"/>
      <c r="E73" s="5">
        <v>71</v>
      </c>
      <c r="F73" s="5">
        <f t="shared" si="10"/>
        <v>71</v>
      </c>
      <c r="G73" s="8">
        <f t="shared" si="13"/>
        <v>0</v>
      </c>
      <c r="H73" s="8">
        <f t="shared" si="14"/>
        <v>675.36239838787594</v>
      </c>
      <c r="I73" s="8">
        <f t="shared" si="11"/>
        <v>19.01449593551504</v>
      </c>
      <c r="J73" s="8">
        <f t="shared" si="12"/>
        <v>400</v>
      </c>
      <c r="K73" s="8">
        <f t="shared" si="15"/>
        <v>0.59227460835074641</v>
      </c>
      <c r="L73" s="8">
        <f t="shared" si="16"/>
        <v>50</v>
      </c>
      <c r="M73" s="8">
        <f t="shared" si="17"/>
        <v>29.613730417537319</v>
      </c>
      <c r="N73" s="8">
        <f t="shared" si="9"/>
        <v>0.29613730417537321</v>
      </c>
      <c r="O73" s="8"/>
      <c r="P73" s="8"/>
      <c r="Q73" s="8"/>
      <c r="R73" s="8"/>
      <c r="S73" s="8"/>
    </row>
    <row r="74" spans="1:19" s="5" customFormat="1" ht="13.2" x14ac:dyDescent="0.3">
      <c r="A74" s="6"/>
      <c r="E74" s="5">
        <v>72</v>
      </c>
      <c r="F74" s="5">
        <f t="shared" si="10"/>
        <v>72</v>
      </c>
      <c r="G74" s="8">
        <f t="shared" si="13"/>
        <v>0</v>
      </c>
      <c r="H74" s="8">
        <f t="shared" si="14"/>
        <v>656.34790245236093</v>
      </c>
      <c r="I74" s="8">
        <f t="shared" si="11"/>
        <v>18.253916098094436</v>
      </c>
      <c r="J74" s="8">
        <f t="shared" si="12"/>
        <v>400</v>
      </c>
      <c r="K74" s="8">
        <f t="shared" si="15"/>
        <v>0.60943289146723956</v>
      </c>
      <c r="L74" s="8">
        <f t="shared" si="16"/>
        <v>50</v>
      </c>
      <c r="M74" s="8">
        <f t="shared" si="17"/>
        <v>30.471644573361978</v>
      </c>
      <c r="N74" s="8">
        <f t="shared" si="9"/>
        <v>0.30471644573361978</v>
      </c>
      <c r="O74" s="8"/>
      <c r="P74" s="8"/>
      <c r="Q74" s="8"/>
      <c r="R74" s="8"/>
      <c r="S74" s="8"/>
    </row>
    <row r="75" spans="1:19" s="5" customFormat="1" ht="13.2" x14ac:dyDescent="0.3">
      <c r="A75" s="6"/>
      <c r="E75" s="5">
        <v>73</v>
      </c>
      <c r="F75" s="5">
        <f t="shared" si="10"/>
        <v>73</v>
      </c>
      <c r="G75" s="8">
        <f t="shared" si="13"/>
        <v>0</v>
      </c>
      <c r="H75" s="8">
        <f t="shared" si="14"/>
        <v>638.09398635426646</v>
      </c>
      <c r="I75" s="8">
        <f t="shared" si="11"/>
        <v>17.523759454170659</v>
      </c>
      <c r="J75" s="8">
        <f t="shared" si="12"/>
        <v>400</v>
      </c>
      <c r="K75" s="8">
        <f t="shared" si="15"/>
        <v>0.62686690135631851</v>
      </c>
      <c r="L75" s="8">
        <f t="shared" si="16"/>
        <v>50</v>
      </c>
      <c r="M75" s="8">
        <f t="shared" si="17"/>
        <v>31.343345067815925</v>
      </c>
      <c r="N75" s="8">
        <f t="shared" si="9"/>
        <v>0.31343345067815925</v>
      </c>
      <c r="O75" s="8"/>
      <c r="P75" s="8"/>
      <c r="Q75" s="8"/>
      <c r="R75" s="8"/>
      <c r="S75" s="8"/>
    </row>
    <row r="76" spans="1:19" s="5" customFormat="1" ht="13.2" x14ac:dyDescent="0.3">
      <c r="A76" s="6"/>
      <c r="E76" s="5">
        <v>74</v>
      </c>
      <c r="F76" s="5">
        <f t="shared" si="10"/>
        <v>74</v>
      </c>
      <c r="G76" s="8">
        <f t="shared" si="13"/>
        <v>0</v>
      </c>
      <c r="H76" s="8">
        <f t="shared" si="14"/>
        <v>620.5702269000958</v>
      </c>
      <c r="I76" s="8">
        <f t="shared" si="11"/>
        <v>16.822809076003832</v>
      </c>
      <c r="J76" s="8">
        <f t="shared" si="12"/>
        <v>400</v>
      </c>
      <c r="K76" s="8">
        <f t="shared" si="15"/>
        <v>0.64456846729193007</v>
      </c>
      <c r="L76" s="8">
        <f t="shared" si="16"/>
        <v>50</v>
      </c>
      <c r="M76" s="8">
        <f t="shared" si="17"/>
        <v>32.228423364596502</v>
      </c>
      <c r="N76" s="8">
        <f t="shared" si="9"/>
        <v>0.32228423364596503</v>
      </c>
      <c r="O76" s="8"/>
      <c r="P76" s="8"/>
      <c r="Q76" s="8"/>
      <c r="R76" s="8"/>
      <c r="S76" s="8"/>
    </row>
    <row r="77" spans="1:19" s="5" customFormat="1" ht="13.2" x14ac:dyDescent="0.3">
      <c r="A77" s="6"/>
      <c r="E77" s="5">
        <v>75</v>
      </c>
      <c r="F77" s="5">
        <f t="shared" si="10"/>
        <v>75</v>
      </c>
      <c r="G77" s="8">
        <f t="shared" si="13"/>
        <v>0</v>
      </c>
      <c r="H77" s="8">
        <f t="shared" si="14"/>
        <v>603.74741782409194</v>
      </c>
      <c r="I77" s="8">
        <f t="shared" si="11"/>
        <v>16.149896712963677</v>
      </c>
      <c r="J77" s="8">
        <f t="shared" si="12"/>
        <v>400</v>
      </c>
      <c r="K77" s="8">
        <f t="shared" si="15"/>
        <v>0.66252871348353182</v>
      </c>
      <c r="L77" s="8">
        <f t="shared" si="16"/>
        <v>50</v>
      </c>
      <c r="M77" s="8">
        <f t="shared" si="17"/>
        <v>33.126435674176591</v>
      </c>
      <c r="N77" s="8">
        <f t="shared" si="9"/>
        <v>0.33126435674176591</v>
      </c>
      <c r="O77" s="8"/>
      <c r="P77" s="8"/>
      <c r="Q77" s="8"/>
      <c r="R77" s="8"/>
      <c r="S77" s="8"/>
    </row>
    <row r="78" spans="1:19" s="5" customFormat="1" ht="13.2" x14ac:dyDescent="0.3">
      <c r="A78" s="6"/>
      <c r="E78" s="5">
        <v>76</v>
      </c>
      <c r="F78" s="5">
        <f t="shared" si="10"/>
        <v>76</v>
      </c>
      <c r="G78" s="8">
        <f t="shared" si="13"/>
        <v>0</v>
      </c>
      <c r="H78" s="8">
        <f t="shared" si="14"/>
        <v>587.59752111112823</v>
      </c>
      <c r="I78" s="8">
        <f t="shared" si="11"/>
        <v>15.503900844445131</v>
      </c>
      <c r="J78" s="8">
        <f t="shared" si="12"/>
        <v>400</v>
      </c>
      <c r="K78" s="8">
        <f t="shared" si="15"/>
        <v>0.68073806581690932</v>
      </c>
      <c r="L78" s="8">
        <f t="shared" si="16"/>
        <v>50</v>
      </c>
      <c r="M78" s="8">
        <f t="shared" si="17"/>
        <v>34.036903290845466</v>
      </c>
      <c r="N78" s="8">
        <f t="shared" si="9"/>
        <v>0.34036903290845466</v>
      </c>
      <c r="O78" s="8"/>
      <c r="P78" s="8"/>
      <c r="Q78" s="8"/>
      <c r="R78" s="8"/>
      <c r="S78" s="8"/>
    </row>
    <row r="79" spans="1:19" s="5" customFormat="1" ht="13.2" x14ac:dyDescent="0.3">
      <c r="A79" s="6"/>
      <c r="E79" s="5">
        <v>77</v>
      </c>
      <c r="F79" s="5">
        <f t="shared" si="10"/>
        <v>77</v>
      </c>
      <c r="G79" s="8">
        <f t="shared" si="13"/>
        <v>0</v>
      </c>
      <c r="H79" s="8">
        <f t="shared" si="14"/>
        <v>572.09362026668305</v>
      </c>
      <c r="I79" s="8">
        <f t="shared" si="11"/>
        <v>14.883744810667324</v>
      </c>
      <c r="J79" s="8">
        <f t="shared" si="12"/>
        <v>400</v>
      </c>
      <c r="K79" s="8">
        <f t="shared" si="15"/>
        <v>0.69918626223019031</v>
      </c>
      <c r="L79" s="8">
        <f t="shared" si="16"/>
        <v>50</v>
      </c>
      <c r="M79" s="8">
        <f t="shared" si="17"/>
        <v>34.959313111509516</v>
      </c>
      <c r="N79" s="8">
        <f t="shared" si="9"/>
        <v>0.34959313111509516</v>
      </c>
      <c r="O79" s="8"/>
      <c r="P79" s="8"/>
      <c r="Q79" s="8"/>
      <c r="R79" s="8"/>
      <c r="S79" s="8"/>
    </row>
    <row r="80" spans="1:19" s="5" customFormat="1" ht="13.2" x14ac:dyDescent="0.3">
      <c r="A80" s="6"/>
      <c r="E80" s="5">
        <v>78</v>
      </c>
      <c r="F80" s="5">
        <f t="shared" si="10"/>
        <v>78</v>
      </c>
      <c r="G80" s="8">
        <f t="shared" si="13"/>
        <v>0</v>
      </c>
      <c r="H80" s="8">
        <f t="shared" si="14"/>
        <v>557.20987545601577</v>
      </c>
      <c r="I80" s="8">
        <f t="shared" si="11"/>
        <v>14.288395018240633</v>
      </c>
      <c r="J80" s="8">
        <f t="shared" si="12"/>
        <v>400</v>
      </c>
      <c r="K80" s="8">
        <f t="shared" si="15"/>
        <v>0.71786236680145599</v>
      </c>
      <c r="L80" s="8">
        <f t="shared" si="16"/>
        <v>50</v>
      </c>
      <c r="M80" s="8">
        <f t="shared" si="17"/>
        <v>35.893118340072796</v>
      </c>
      <c r="N80" s="8">
        <f t="shared" si="9"/>
        <v>0.35893118340072794</v>
      </c>
      <c r="O80" s="8"/>
      <c r="P80" s="8"/>
      <c r="Q80" s="8"/>
      <c r="R80" s="8"/>
      <c r="S80" s="8"/>
    </row>
    <row r="81" spans="1:19" s="5" customFormat="1" ht="13.2" x14ac:dyDescent="0.3">
      <c r="A81" s="6"/>
      <c r="E81" s="5">
        <v>79</v>
      </c>
      <c r="F81" s="5">
        <f t="shared" si="10"/>
        <v>79</v>
      </c>
      <c r="G81" s="8">
        <f t="shared" si="13"/>
        <v>0</v>
      </c>
      <c r="H81" s="8">
        <f t="shared" si="14"/>
        <v>542.92148043777513</v>
      </c>
      <c r="I81" s="8">
        <f t="shared" si="11"/>
        <v>13.716859217511004</v>
      </c>
      <c r="J81" s="8">
        <f t="shared" si="12"/>
        <v>400</v>
      </c>
      <c r="K81" s="8">
        <f t="shared" si="15"/>
        <v>0.73675478759371815</v>
      </c>
      <c r="L81" s="8">
        <f t="shared" si="16"/>
        <v>50</v>
      </c>
      <c r="M81" s="8">
        <f t="shared" si="17"/>
        <v>36.837739379685907</v>
      </c>
      <c r="N81" s="8">
        <f t="shared" si="9"/>
        <v>0.36837739379685908</v>
      </c>
      <c r="O81" s="8"/>
      <c r="P81" s="8"/>
      <c r="Q81" s="8"/>
      <c r="R81" s="8"/>
      <c r="S81" s="8"/>
    </row>
    <row r="82" spans="1:19" s="5" customFormat="1" ht="13.2" x14ac:dyDescent="0.3">
      <c r="A82" s="6"/>
      <c r="E82" s="5">
        <v>80</v>
      </c>
      <c r="F82" s="5">
        <f t="shared" si="10"/>
        <v>80</v>
      </c>
      <c r="G82" s="8">
        <f t="shared" si="13"/>
        <v>0</v>
      </c>
      <c r="H82" s="8">
        <f t="shared" si="14"/>
        <v>529.20462122026413</v>
      </c>
      <c r="I82" s="8">
        <f t="shared" si="11"/>
        <v>13.168184848810563</v>
      </c>
      <c r="J82" s="8">
        <f t="shared" si="12"/>
        <v>400</v>
      </c>
      <c r="K82" s="8">
        <f t="shared" si="15"/>
        <v>0.7558512982703397</v>
      </c>
      <c r="L82" s="8">
        <f t="shared" si="16"/>
        <v>50</v>
      </c>
      <c r="M82" s="8">
        <f t="shared" si="17"/>
        <v>37.792564913516983</v>
      </c>
      <c r="N82" s="8">
        <f t="shared" si="9"/>
        <v>0.37792564913516985</v>
      </c>
      <c r="O82" s="8"/>
      <c r="P82" s="8"/>
      <c r="Q82" s="8"/>
      <c r="R82" s="8"/>
      <c r="S82" s="8"/>
    </row>
    <row r="83" spans="1:19" s="5" customFormat="1" ht="13.2" x14ac:dyDescent="0.3">
      <c r="A83" s="6"/>
      <c r="E83" s="5">
        <v>81</v>
      </c>
      <c r="F83" s="5">
        <f t="shared" si="10"/>
        <v>81</v>
      </c>
      <c r="G83" s="8">
        <f t="shared" si="13"/>
        <v>26.413350092121977</v>
      </c>
      <c r="H83" s="8">
        <f t="shared" si="14"/>
        <v>516.03643637145353</v>
      </c>
      <c r="I83" s="8">
        <f t="shared" si="11"/>
        <v>0</v>
      </c>
      <c r="J83" s="8">
        <f t="shared" si="12"/>
        <v>1600</v>
      </c>
      <c r="K83" s="8">
        <f t="shared" si="15"/>
        <v>3</v>
      </c>
      <c r="L83" s="8">
        <f t="shared" si="16"/>
        <v>51.675937563973598</v>
      </c>
      <c r="M83" s="8">
        <f t="shared" si="17"/>
        <v>155.02781269192079</v>
      </c>
      <c r="N83" s="8">
        <f t="shared" si="9"/>
        <v>1.5502781269192079</v>
      </c>
      <c r="O83" s="8"/>
      <c r="P83" s="8"/>
      <c r="Q83" s="8"/>
      <c r="R83" s="8"/>
      <c r="S83" s="8"/>
    </row>
    <row r="84" spans="1:19" s="5" customFormat="1" ht="13.2" x14ac:dyDescent="0.3">
      <c r="A84" s="6"/>
      <c r="E84" s="5">
        <v>82</v>
      </c>
      <c r="F84" s="5">
        <f t="shared" si="10"/>
        <v>82</v>
      </c>
      <c r="G84" s="8">
        <f t="shared" si="13"/>
        <v>22.789962422777144</v>
      </c>
      <c r="H84" s="8">
        <f t="shared" si="14"/>
        <v>542.44978646357549</v>
      </c>
      <c r="I84" s="8">
        <f t="shared" si="11"/>
        <v>0</v>
      </c>
      <c r="J84" s="8">
        <f t="shared" si="12"/>
        <v>1600</v>
      </c>
      <c r="K84" s="8">
        <f t="shared" si="15"/>
        <v>2.9495817676157148</v>
      </c>
      <c r="L84" s="8">
        <f t="shared" si="16"/>
        <v>50</v>
      </c>
      <c r="M84" s="8">
        <f t="shared" si="17"/>
        <v>147.47908838078573</v>
      </c>
      <c r="N84" s="8">
        <f t="shared" si="9"/>
        <v>1.4747908838078572</v>
      </c>
      <c r="O84" s="8"/>
      <c r="P84" s="8"/>
      <c r="Q84" s="8"/>
      <c r="R84" s="8"/>
      <c r="S84" s="8"/>
    </row>
    <row r="85" spans="1:19" s="5" customFormat="1" ht="13.2" x14ac:dyDescent="0.3">
      <c r="A85" s="6"/>
      <c r="E85" s="5">
        <v>83</v>
      </c>
      <c r="F85" s="5">
        <f t="shared" si="10"/>
        <v>83</v>
      </c>
      <c r="G85" s="8">
        <f t="shared" si="13"/>
        <v>19.935774289859289</v>
      </c>
      <c r="H85" s="8">
        <f t="shared" si="14"/>
        <v>565.23974888635269</v>
      </c>
      <c r="I85" s="8">
        <f t="shared" si="11"/>
        <v>0</v>
      </c>
      <c r="J85" s="8">
        <f t="shared" si="12"/>
        <v>1600</v>
      </c>
      <c r="K85" s="8">
        <f t="shared" si="15"/>
        <v>2.8306572620774704</v>
      </c>
      <c r="L85" s="8">
        <f t="shared" si="16"/>
        <v>50</v>
      </c>
      <c r="M85" s="8">
        <f t="shared" si="17"/>
        <v>141.53286310387352</v>
      </c>
      <c r="N85" s="8">
        <f t="shared" si="9"/>
        <v>1.4153286310387352</v>
      </c>
      <c r="O85" s="8"/>
      <c r="P85" s="8"/>
      <c r="Q85" s="8"/>
      <c r="R85" s="8"/>
      <c r="S85" s="8"/>
    </row>
    <row r="86" spans="1:19" s="5" customFormat="1" ht="13.2" x14ac:dyDescent="0.3">
      <c r="A86" s="6"/>
      <c r="E86" s="5">
        <v>84</v>
      </c>
      <c r="F86" s="5">
        <f t="shared" si="10"/>
        <v>84</v>
      </c>
      <c r="G86" s="8">
        <f t="shared" si="13"/>
        <v>17.621336640283111</v>
      </c>
      <c r="H86" s="8">
        <f t="shared" si="14"/>
        <v>585.17552317621198</v>
      </c>
      <c r="I86" s="8">
        <f t="shared" si="11"/>
        <v>0</v>
      </c>
      <c r="J86" s="8">
        <f t="shared" si="12"/>
        <v>1600</v>
      </c>
      <c r="K86" s="8">
        <f t="shared" si="15"/>
        <v>2.7342223600117963</v>
      </c>
      <c r="L86" s="8">
        <f t="shared" si="16"/>
        <v>50</v>
      </c>
      <c r="M86" s="8">
        <f t="shared" si="17"/>
        <v>136.71111800058981</v>
      </c>
      <c r="N86" s="8">
        <f t="shared" si="9"/>
        <v>1.3671111800058982</v>
      </c>
      <c r="O86" s="8"/>
      <c r="P86" s="8"/>
      <c r="Q86" s="8"/>
      <c r="R86" s="8"/>
      <c r="S86" s="8"/>
    </row>
    <row r="87" spans="1:19" s="5" customFormat="1" ht="13.2" x14ac:dyDescent="0.3">
      <c r="A87" s="6"/>
      <c r="E87" s="5">
        <v>85</v>
      </c>
      <c r="F87" s="5">
        <f t="shared" si="10"/>
        <v>85</v>
      </c>
      <c r="G87" s="8">
        <f t="shared" si="13"/>
        <v>15.703052487184216</v>
      </c>
      <c r="H87" s="8">
        <f t="shared" si="14"/>
        <v>602.79685981649504</v>
      </c>
      <c r="I87" s="8">
        <f t="shared" si="11"/>
        <v>0</v>
      </c>
      <c r="J87" s="8">
        <f t="shared" si="12"/>
        <v>1600</v>
      </c>
      <c r="K87" s="8">
        <f t="shared" si="15"/>
        <v>2.6542938536326748</v>
      </c>
      <c r="L87" s="8">
        <f t="shared" si="16"/>
        <v>50.000000000000014</v>
      </c>
      <c r="M87" s="8">
        <f t="shared" si="17"/>
        <v>132.71469268163378</v>
      </c>
      <c r="N87" s="8">
        <f t="shared" si="9"/>
        <v>1.3271469268163378</v>
      </c>
      <c r="O87" s="8"/>
      <c r="P87" s="8"/>
      <c r="Q87" s="8"/>
      <c r="R87" s="8"/>
      <c r="S87" s="8"/>
    </row>
    <row r="88" spans="1:19" s="5" customFormat="1" ht="13.2" x14ac:dyDescent="0.3">
      <c r="A88" s="6"/>
      <c r="E88" s="5">
        <v>86</v>
      </c>
      <c r="F88" s="5">
        <f t="shared" si="10"/>
        <v>86</v>
      </c>
      <c r="G88" s="8">
        <f t="shared" si="13"/>
        <v>14.085699991410607</v>
      </c>
      <c r="H88" s="8">
        <f t="shared" si="14"/>
        <v>618.49991230367925</v>
      </c>
      <c r="I88" s="8">
        <f t="shared" si="11"/>
        <v>0</v>
      </c>
      <c r="J88" s="8">
        <f t="shared" si="12"/>
        <v>1600</v>
      </c>
      <c r="K88" s="8">
        <f t="shared" si="15"/>
        <v>2.5869041663087753</v>
      </c>
      <c r="L88" s="8">
        <f t="shared" si="16"/>
        <v>50</v>
      </c>
      <c r="M88" s="8">
        <f t="shared" si="17"/>
        <v>129.34520831543875</v>
      </c>
      <c r="N88" s="8">
        <f t="shared" si="9"/>
        <v>1.2934520831543876</v>
      </c>
      <c r="O88" s="8"/>
      <c r="P88" s="8"/>
      <c r="Q88" s="8"/>
      <c r="R88" s="8"/>
      <c r="S88" s="8"/>
    </row>
    <row r="89" spans="1:19" s="5" customFormat="1" ht="13.2" x14ac:dyDescent="0.3">
      <c r="A89" s="6"/>
      <c r="E89" s="5">
        <v>87</v>
      </c>
      <c r="F89" s="5">
        <f t="shared" si="10"/>
        <v>87</v>
      </c>
      <c r="G89" s="8">
        <f t="shared" si="13"/>
        <v>12.703245938017147</v>
      </c>
      <c r="H89" s="8">
        <f t="shared" si="14"/>
        <v>632.58561229508985</v>
      </c>
      <c r="I89" s="8">
        <f t="shared" si="11"/>
        <v>0</v>
      </c>
      <c r="J89" s="8">
        <f t="shared" si="12"/>
        <v>1600</v>
      </c>
      <c r="K89" s="8">
        <f t="shared" si="15"/>
        <v>2.5293019140840478</v>
      </c>
      <c r="L89" s="8">
        <f t="shared" si="16"/>
        <v>50</v>
      </c>
      <c r="M89" s="8">
        <f t="shared" si="17"/>
        <v>126.46509570420238</v>
      </c>
      <c r="N89" s="8">
        <f t="shared" si="9"/>
        <v>1.2646509570420239</v>
      </c>
      <c r="O89" s="8"/>
      <c r="P89" s="8"/>
      <c r="Q89" s="8"/>
      <c r="R89" s="8"/>
      <c r="S89" s="8"/>
    </row>
    <row r="90" spans="1:19" s="5" customFormat="1" ht="13.2" x14ac:dyDescent="0.3">
      <c r="A90" s="6"/>
      <c r="E90" s="5">
        <v>88</v>
      </c>
      <c r="F90" s="5">
        <f t="shared" si="10"/>
        <v>88</v>
      </c>
      <c r="G90" s="8">
        <f t="shared" si="13"/>
        <v>11.508233421455131</v>
      </c>
      <c r="H90" s="8">
        <f t="shared" si="14"/>
        <v>645.28885823310702</v>
      </c>
      <c r="I90" s="8">
        <f t="shared" si="11"/>
        <v>0</v>
      </c>
      <c r="J90" s="8">
        <f t="shared" si="12"/>
        <v>1600</v>
      </c>
      <c r="K90" s="8">
        <f t="shared" si="15"/>
        <v>2.4795097258939638</v>
      </c>
      <c r="L90" s="8">
        <f t="shared" si="16"/>
        <v>50</v>
      </c>
      <c r="M90" s="8">
        <f t="shared" si="17"/>
        <v>123.97548629469819</v>
      </c>
      <c r="N90" s="8">
        <f t="shared" si="9"/>
        <v>1.2397548629469819</v>
      </c>
      <c r="O90" s="8"/>
      <c r="P90" s="8"/>
      <c r="Q90" s="8"/>
      <c r="R90" s="8"/>
      <c r="S90" s="8"/>
    </row>
    <row r="91" spans="1:19" s="5" customFormat="1" ht="13.2" x14ac:dyDescent="0.3">
      <c r="A91" s="6"/>
      <c r="E91" s="5">
        <v>89</v>
      </c>
      <c r="F91" s="5">
        <f t="shared" si="10"/>
        <v>89</v>
      </c>
      <c r="G91" s="8">
        <f t="shared" si="13"/>
        <v>10.465545124849932</v>
      </c>
      <c r="H91" s="8">
        <f t="shared" si="14"/>
        <v>656.79709165456211</v>
      </c>
      <c r="I91" s="8">
        <f t="shared" si="11"/>
        <v>0</v>
      </c>
      <c r="J91" s="8">
        <f t="shared" si="12"/>
        <v>1600</v>
      </c>
      <c r="K91" s="8">
        <f t="shared" si="15"/>
        <v>2.4360643802020805</v>
      </c>
      <c r="L91" s="8">
        <f t="shared" si="16"/>
        <v>50</v>
      </c>
      <c r="M91" s="8">
        <f t="shared" si="17"/>
        <v>121.80321901010403</v>
      </c>
      <c r="N91" s="8">
        <f t="shared" si="9"/>
        <v>1.2180321901010402</v>
      </c>
      <c r="O91" s="8"/>
      <c r="P91" s="8"/>
      <c r="Q91" s="8"/>
      <c r="R91" s="8"/>
      <c r="S91" s="8"/>
    </row>
    <row r="92" spans="1:19" s="5" customFormat="1" ht="13.2" x14ac:dyDescent="0.3">
      <c r="A92" s="6"/>
      <c r="E92" s="5">
        <v>90</v>
      </c>
      <c r="F92" s="5">
        <f t="shared" si="10"/>
        <v>90</v>
      </c>
      <c r="G92" s="8">
        <f t="shared" si="13"/>
        <v>9.5485541725222056</v>
      </c>
      <c r="H92" s="8">
        <f t="shared" si="14"/>
        <v>667.26263677941199</v>
      </c>
      <c r="I92" s="8">
        <f t="shared" si="11"/>
        <v>0</v>
      </c>
      <c r="J92" s="8">
        <f t="shared" si="12"/>
        <v>1600</v>
      </c>
      <c r="K92" s="8">
        <f t="shared" si="15"/>
        <v>2.3978564238550919</v>
      </c>
      <c r="L92" s="8">
        <f t="shared" si="16"/>
        <v>50</v>
      </c>
      <c r="M92" s="8">
        <f t="shared" si="17"/>
        <v>119.8928211927546</v>
      </c>
      <c r="N92" s="8">
        <f t="shared" si="9"/>
        <v>1.198928211927546</v>
      </c>
      <c r="O92" s="8"/>
      <c r="P92" s="8"/>
      <c r="Q92" s="8"/>
      <c r="R92" s="8"/>
      <c r="S92" s="8"/>
    </row>
    <row r="93" spans="1:19" s="5" customFormat="1" ht="13.2" x14ac:dyDescent="0.3">
      <c r="A93" s="6"/>
      <c r="E93" s="5">
        <v>91</v>
      </c>
      <c r="F93" s="5">
        <f t="shared" si="10"/>
        <v>91</v>
      </c>
      <c r="G93" s="8">
        <f t="shared" si="13"/>
        <v>0</v>
      </c>
      <c r="H93" s="8">
        <f t="shared" si="14"/>
        <v>676.81119095193424</v>
      </c>
      <c r="I93" s="8">
        <f t="shared" si="11"/>
        <v>19.072447638077371</v>
      </c>
      <c r="J93" s="8">
        <f t="shared" si="12"/>
        <v>400</v>
      </c>
      <c r="K93" s="8">
        <f t="shared" si="15"/>
        <v>0.59100677611048424</v>
      </c>
      <c r="L93" s="8">
        <f t="shared" si="16"/>
        <v>50</v>
      </c>
      <c r="M93" s="8">
        <f t="shared" si="17"/>
        <v>29.550338805524213</v>
      </c>
      <c r="N93" s="8">
        <f t="shared" si="9"/>
        <v>0.29550338805524212</v>
      </c>
      <c r="O93" s="8"/>
      <c r="P93" s="8"/>
      <c r="Q93" s="8"/>
      <c r="R93" s="8"/>
      <c r="S93" s="8"/>
    </row>
    <row r="94" spans="1:19" s="5" customFormat="1" ht="13.2" x14ac:dyDescent="0.3">
      <c r="A94" s="6"/>
      <c r="E94" s="5">
        <v>92</v>
      </c>
      <c r="F94" s="5">
        <f t="shared" si="10"/>
        <v>92</v>
      </c>
      <c r="G94" s="8">
        <f t="shared" si="13"/>
        <v>0</v>
      </c>
      <c r="H94" s="8">
        <f t="shared" si="14"/>
        <v>657.73874331385684</v>
      </c>
      <c r="I94" s="8">
        <f t="shared" si="11"/>
        <v>18.309549732554274</v>
      </c>
      <c r="J94" s="8">
        <f t="shared" si="12"/>
        <v>400</v>
      </c>
      <c r="K94" s="8">
        <f t="shared" si="15"/>
        <v>0.60814419716968049</v>
      </c>
      <c r="L94" s="8">
        <f t="shared" si="16"/>
        <v>50</v>
      </c>
      <c r="M94" s="8">
        <f t="shared" si="17"/>
        <v>30.407209858484023</v>
      </c>
      <c r="N94" s="8">
        <f t="shared" si="9"/>
        <v>0.30407209858484024</v>
      </c>
      <c r="O94" s="8"/>
      <c r="P94" s="8"/>
      <c r="Q94" s="8"/>
      <c r="R94" s="8"/>
      <c r="S94" s="8"/>
    </row>
    <row r="95" spans="1:19" s="5" customFormat="1" ht="13.2" x14ac:dyDescent="0.3">
      <c r="A95" s="6"/>
      <c r="E95" s="5">
        <v>93</v>
      </c>
      <c r="F95" s="5">
        <f t="shared" si="10"/>
        <v>93</v>
      </c>
      <c r="G95" s="8">
        <f t="shared" si="13"/>
        <v>0</v>
      </c>
      <c r="H95" s="8">
        <f t="shared" si="14"/>
        <v>639.42919358130257</v>
      </c>
      <c r="I95" s="8">
        <f t="shared" si="11"/>
        <v>17.577167743252105</v>
      </c>
      <c r="J95" s="8">
        <f t="shared" si="12"/>
        <v>400</v>
      </c>
      <c r="K95" s="8">
        <f t="shared" si="15"/>
        <v>0.62555792574888203</v>
      </c>
      <c r="L95" s="8">
        <f t="shared" si="16"/>
        <v>50</v>
      </c>
      <c r="M95" s="8">
        <f t="shared" si="17"/>
        <v>31.277896287444101</v>
      </c>
      <c r="N95" s="8">
        <f t="shared" si="9"/>
        <v>0.31277896287444101</v>
      </c>
      <c r="O95" s="8"/>
      <c r="P95" s="8"/>
      <c r="Q95" s="8"/>
      <c r="R95" s="8"/>
      <c r="S95" s="8"/>
    </row>
    <row r="96" spans="1:19" s="5" customFormat="1" ht="13.2" x14ac:dyDescent="0.3">
      <c r="A96" s="6"/>
      <c r="E96" s="5">
        <v>94</v>
      </c>
      <c r="F96" s="5">
        <f t="shared" si="10"/>
        <v>94</v>
      </c>
      <c r="G96" s="8">
        <f t="shared" si="13"/>
        <v>0</v>
      </c>
      <c r="H96" s="8">
        <f t="shared" si="14"/>
        <v>621.85202583805051</v>
      </c>
      <c r="I96" s="8">
        <f t="shared" si="11"/>
        <v>16.874081033522021</v>
      </c>
      <c r="J96" s="8">
        <f t="shared" si="12"/>
        <v>400</v>
      </c>
      <c r="K96" s="8">
        <f t="shared" si="15"/>
        <v>0.64323984385341915</v>
      </c>
      <c r="L96" s="8">
        <f t="shared" si="16"/>
        <v>50</v>
      </c>
      <c r="M96" s="8">
        <f t="shared" si="17"/>
        <v>32.161992192670958</v>
      </c>
      <c r="N96" s="8">
        <f t="shared" si="9"/>
        <v>0.32161992192670957</v>
      </c>
      <c r="O96" s="8"/>
      <c r="P96" s="8"/>
      <c r="Q96" s="8"/>
      <c r="R96" s="8"/>
      <c r="S96" s="8"/>
    </row>
    <row r="97" spans="1:19" s="5" customFormat="1" ht="13.2" x14ac:dyDescent="0.3">
      <c r="A97" s="6"/>
      <c r="E97" s="5">
        <v>95</v>
      </c>
      <c r="F97" s="5">
        <f t="shared" si="10"/>
        <v>95</v>
      </c>
      <c r="G97" s="8">
        <f t="shared" si="13"/>
        <v>0</v>
      </c>
      <c r="H97" s="8">
        <f t="shared" si="14"/>
        <v>604.97794480452853</v>
      </c>
      <c r="I97" s="8">
        <f t="shared" si="11"/>
        <v>16.199117792181145</v>
      </c>
      <c r="J97" s="8">
        <f t="shared" si="12"/>
        <v>400</v>
      </c>
      <c r="K97" s="8">
        <f t="shared" si="15"/>
        <v>0.66118112806449836</v>
      </c>
      <c r="L97" s="8">
        <f t="shared" si="16"/>
        <v>50</v>
      </c>
      <c r="M97" s="8">
        <f t="shared" si="17"/>
        <v>33.059056403224915</v>
      </c>
      <c r="N97" s="8">
        <f t="shared" si="9"/>
        <v>0.33059056403224912</v>
      </c>
      <c r="O97" s="8"/>
      <c r="P97" s="8"/>
      <c r="Q97" s="8"/>
      <c r="R97" s="8"/>
      <c r="S97" s="8"/>
    </row>
    <row r="98" spans="1:19" s="5" customFormat="1" ht="13.2" x14ac:dyDescent="0.3">
      <c r="A98" s="6"/>
      <c r="E98" s="5">
        <v>96</v>
      </c>
      <c r="F98" s="5">
        <f t="shared" si="10"/>
        <v>96</v>
      </c>
      <c r="G98" s="8">
        <f t="shared" si="13"/>
        <v>0</v>
      </c>
      <c r="H98" s="8">
        <f t="shared" si="14"/>
        <v>588.77882701234739</v>
      </c>
      <c r="I98" s="8">
        <f t="shared" si="11"/>
        <v>15.551153080493895</v>
      </c>
      <c r="J98" s="8">
        <f t="shared" si="12"/>
        <v>400</v>
      </c>
      <c r="K98" s="8">
        <f t="shared" si="15"/>
        <v>0.67937225601288742</v>
      </c>
      <c r="L98" s="8">
        <f t="shared" si="16"/>
        <v>50</v>
      </c>
      <c r="M98" s="8">
        <f t="shared" si="17"/>
        <v>33.968612800644372</v>
      </c>
      <c r="N98" s="8">
        <f t="shared" si="9"/>
        <v>0.33968612800644371</v>
      </c>
      <c r="O98" s="8"/>
      <c r="P98" s="8"/>
      <c r="Q98" s="8"/>
      <c r="R98" s="8"/>
      <c r="S98" s="8"/>
    </row>
    <row r="99" spans="1:19" s="5" customFormat="1" ht="13.2" x14ac:dyDescent="0.3">
      <c r="A99" s="6"/>
      <c r="E99" s="5">
        <v>97</v>
      </c>
      <c r="F99" s="5">
        <f t="shared" si="10"/>
        <v>97</v>
      </c>
      <c r="G99" s="8">
        <f t="shared" si="13"/>
        <v>0</v>
      </c>
      <c r="H99" s="8">
        <f t="shared" si="14"/>
        <v>573.22767393185347</v>
      </c>
      <c r="I99" s="8">
        <f t="shared" si="11"/>
        <v>14.929106957274136</v>
      </c>
      <c r="J99" s="8">
        <f t="shared" si="12"/>
        <v>400</v>
      </c>
      <c r="K99" s="8">
        <f t="shared" si="15"/>
        <v>0.6978030164809399</v>
      </c>
      <c r="L99" s="8">
        <f t="shared" si="16"/>
        <v>50</v>
      </c>
      <c r="M99" s="8">
        <f t="shared" si="17"/>
        <v>34.890150824046998</v>
      </c>
      <c r="N99" s="8">
        <f t="shared" si="9"/>
        <v>0.34890150824047</v>
      </c>
      <c r="O99" s="8"/>
      <c r="P99" s="8"/>
      <c r="Q99" s="8"/>
      <c r="R99" s="8"/>
      <c r="S99" s="8"/>
    </row>
    <row r="100" spans="1:19" s="5" customFormat="1" ht="13.2" x14ac:dyDescent="0.3">
      <c r="A100" s="6"/>
      <c r="E100" s="5">
        <v>98</v>
      </c>
      <c r="F100" s="5">
        <f t="shared" si="10"/>
        <v>98</v>
      </c>
      <c r="G100" s="8">
        <f t="shared" si="13"/>
        <v>0</v>
      </c>
      <c r="H100" s="8">
        <f t="shared" si="14"/>
        <v>558.29856697457933</v>
      </c>
      <c r="I100" s="8">
        <f t="shared" si="11"/>
        <v>14.331942678983172</v>
      </c>
      <c r="J100" s="8">
        <f t="shared" si="12"/>
        <v>400</v>
      </c>
      <c r="K100" s="8">
        <f t="shared" si="15"/>
        <v>0.71646252321155068</v>
      </c>
      <c r="L100" s="8">
        <f t="shared" si="16"/>
        <v>50</v>
      </c>
      <c r="M100" s="8">
        <f t="shared" si="17"/>
        <v>35.823126160577537</v>
      </c>
      <c r="N100" s="8">
        <f t="shared" si="9"/>
        <v>0.3582312616057754</v>
      </c>
      <c r="O100" s="8"/>
      <c r="P100" s="8"/>
      <c r="Q100" s="8"/>
      <c r="R100" s="8"/>
      <c r="S100" s="8"/>
    </row>
    <row r="101" spans="1:19" s="5" customFormat="1" ht="13.2" x14ac:dyDescent="0.3">
      <c r="A101" s="6"/>
      <c r="E101" s="5">
        <v>99</v>
      </c>
      <c r="F101" s="5">
        <f t="shared" si="10"/>
        <v>99</v>
      </c>
      <c r="G101" s="8">
        <f t="shared" si="13"/>
        <v>0</v>
      </c>
      <c r="H101" s="8">
        <f t="shared" si="14"/>
        <v>543.96662429559615</v>
      </c>
      <c r="I101" s="8">
        <f t="shared" si="11"/>
        <v>13.758664971823848</v>
      </c>
      <c r="J101" s="8">
        <f t="shared" si="12"/>
        <v>400</v>
      </c>
      <c r="K101" s="8">
        <f t="shared" si="15"/>
        <v>0.73533923247216826</v>
      </c>
      <c r="L101" s="8">
        <f t="shared" si="16"/>
        <v>50</v>
      </c>
      <c r="M101" s="8">
        <f t="shared" si="17"/>
        <v>36.76696162360841</v>
      </c>
      <c r="N101" s="8">
        <f t="shared" si="9"/>
        <v>0.36766961623608407</v>
      </c>
      <c r="O101" s="8"/>
      <c r="P101" s="8"/>
      <c r="Q101" s="8"/>
      <c r="R101" s="8"/>
      <c r="S101" s="8"/>
    </row>
    <row r="102" spans="1:19" s="5" customFormat="1" ht="13.2" x14ac:dyDescent="0.3">
      <c r="A102" s="6"/>
      <c r="E102" s="5">
        <v>100</v>
      </c>
      <c r="F102" s="5">
        <f t="shared" si="10"/>
        <v>100</v>
      </c>
      <c r="G102" s="8">
        <f t="shared" si="13"/>
        <v>0</v>
      </c>
      <c r="H102" s="8">
        <f t="shared" si="14"/>
        <v>530.20795932377234</v>
      </c>
      <c r="I102" s="8">
        <f t="shared" si="11"/>
        <v>13.208318372950895</v>
      </c>
      <c r="J102" s="8">
        <f t="shared" si="12"/>
        <v>400</v>
      </c>
      <c r="K102" s="8">
        <f t="shared" si="15"/>
        <v>0.75442096438944506</v>
      </c>
      <c r="L102" s="8">
        <f t="shared" si="16"/>
        <v>50</v>
      </c>
      <c r="M102" s="8">
        <f t="shared" si="17"/>
        <v>37.721048219472252</v>
      </c>
      <c r="N102" s="8">
        <f t="shared" si="9"/>
        <v>0.37721048219472253</v>
      </c>
    </row>
    <row r="103" spans="1:19" s="5" customFormat="1" ht="13.2" x14ac:dyDescent="0.3">
      <c r="A103" s="6"/>
      <c r="E103" s="5">
        <v>101</v>
      </c>
      <c r="F103" s="5">
        <f t="shared" si="10"/>
        <v>101</v>
      </c>
      <c r="G103" s="8">
        <f t="shared" si="13"/>
        <v>26.274713091440475</v>
      </c>
      <c r="H103" s="8">
        <f t="shared" si="14"/>
        <v>516.99964095082146</v>
      </c>
      <c r="I103" s="8">
        <f t="shared" si="11"/>
        <v>0</v>
      </c>
      <c r="J103" s="8">
        <f t="shared" si="12"/>
        <v>1600</v>
      </c>
      <c r="K103" s="8">
        <f t="shared" si="15"/>
        <v>3</v>
      </c>
      <c r="L103" s="8">
        <f t="shared" si="16"/>
        <v>51.579661869055883</v>
      </c>
      <c r="M103" s="8">
        <f t="shared" si="17"/>
        <v>154.73898560716765</v>
      </c>
      <c r="N103" s="8">
        <f t="shared" si="9"/>
        <v>1.5473898560716766</v>
      </c>
    </row>
    <row r="104" spans="1:19" s="5" customFormat="1" ht="13.2" x14ac:dyDescent="0.3">
      <c r="A104" s="6"/>
      <c r="E104" s="5">
        <v>102</v>
      </c>
      <c r="F104" s="5">
        <f t="shared" si="10"/>
        <v>102</v>
      </c>
      <c r="G104" s="8">
        <f t="shared" si="13"/>
        <v>22.682519272781317</v>
      </c>
      <c r="H104" s="8">
        <f t="shared" si="14"/>
        <v>543.27435404226196</v>
      </c>
      <c r="I104" s="8">
        <f t="shared" si="11"/>
        <v>0</v>
      </c>
      <c r="J104" s="8">
        <f t="shared" si="12"/>
        <v>1600</v>
      </c>
      <c r="K104" s="8">
        <f t="shared" si="15"/>
        <v>2.9451049696992215</v>
      </c>
      <c r="L104" s="8">
        <f t="shared" si="16"/>
        <v>50</v>
      </c>
      <c r="M104" s="8">
        <f t="shared" si="17"/>
        <v>147.25524848496107</v>
      </c>
      <c r="N104" s="8">
        <f t="shared" si="9"/>
        <v>1.4725524848496108</v>
      </c>
    </row>
    <row r="105" spans="1:19" s="5" customFormat="1" ht="13.2" x14ac:dyDescent="0.3">
      <c r="A105" s="6"/>
      <c r="E105" s="5">
        <v>103</v>
      </c>
      <c r="F105" s="5">
        <f t="shared" si="10"/>
        <v>103</v>
      </c>
      <c r="G105" s="8">
        <f t="shared" si="13"/>
        <v>19.849692813297484</v>
      </c>
      <c r="H105" s="8">
        <f t="shared" si="14"/>
        <v>565.95687331504325</v>
      </c>
      <c r="I105" s="8">
        <f t="shared" si="11"/>
        <v>0</v>
      </c>
      <c r="J105" s="8">
        <f t="shared" si="12"/>
        <v>1600</v>
      </c>
      <c r="K105" s="8">
        <f t="shared" si="15"/>
        <v>2.8270705338873947</v>
      </c>
      <c r="L105" s="8">
        <f t="shared" si="16"/>
        <v>50</v>
      </c>
      <c r="M105" s="8">
        <f t="shared" si="17"/>
        <v>141.35352669436975</v>
      </c>
      <c r="N105" s="8">
        <f t="shared" si="9"/>
        <v>1.4135352669436976</v>
      </c>
    </row>
    <row r="106" spans="1:19" s="5" customFormat="1" ht="13.2" x14ac:dyDescent="0.3">
      <c r="A106" s="6"/>
      <c r="E106" s="5">
        <v>104</v>
      </c>
      <c r="F106" s="5">
        <f t="shared" si="10"/>
        <v>104</v>
      </c>
      <c r="G106" s="8">
        <f t="shared" si="13"/>
        <v>17.550647978887937</v>
      </c>
      <c r="H106" s="8">
        <f t="shared" si="14"/>
        <v>585.80656612834071</v>
      </c>
      <c r="I106" s="8">
        <f t="shared" si="11"/>
        <v>0</v>
      </c>
      <c r="J106" s="8">
        <f t="shared" si="12"/>
        <v>1600</v>
      </c>
      <c r="K106" s="8">
        <f t="shared" si="15"/>
        <v>2.7312769991203307</v>
      </c>
      <c r="L106" s="8">
        <f t="shared" si="16"/>
        <v>50</v>
      </c>
      <c r="M106" s="8">
        <f t="shared" si="17"/>
        <v>136.56384995601653</v>
      </c>
      <c r="N106" s="8">
        <f t="shared" si="9"/>
        <v>1.3656384995601654</v>
      </c>
    </row>
    <row r="107" spans="1:19" s="5" customFormat="1" ht="13.2" x14ac:dyDescent="0.3">
      <c r="A107" s="6"/>
      <c r="E107" s="5">
        <v>105</v>
      </c>
      <c r="F107" s="5">
        <f t="shared" si="10"/>
        <v>105</v>
      </c>
      <c r="G107" s="8">
        <f t="shared" si="13"/>
        <v>15.643889725955191</v>
      </c>
      <c r="H107" s="8">
        <f t="shared" si="14"/>
        <v>603.35721410722863</v>
      </c>
      <c r="I107" s="8">
        <f t="shared" si="11"/>
        <v>0</v>
      </c>
      <c r="J107" s="8">
        <f t="shared" si="12"/>
        <v>1600</v>
      </c>
      <c r="K107" s="8">
        <f t="shared" si="15"/>
        <v>2.6518287385814667</v>
      </c>
      <c r="L107" s="8">
        <f t="shared" si="16"/>
        <v>50</v>
      </c>
      <c r="M107" s="8">
        <f t="shared" si="17"/>
        <v>132.59143692907332</v>
      </c>
      <c r="N107" s="8">
        <f t="shared" si="9"/>
        <v>1.3259143692907331</v>
      </c>
    </row>
    <row r="108" spans="1:19" s="5" customFormat="1" ht="13.2" x14ac:dyDescent="0.3">
      <c r="A108" s="6"/>
      <c r="E108" s="5">
        <v>106</v>
      </c>
      <c r="F108" s="5">
        <f t="shared" si="10"/>
        <v>106</v>
      </c>
      <c r="G108" s="8">
        <f t="shared" si="13"/>
        <v>14.035430570651318</v>
      </c>
      <c r="H108" s="8">
        <f t="shared" si="14"/>
        <v>619.00110383318383</v>
      </c>
      <c r="I108" s="8">
        <f t="shared" si="11"/>
        <v>0</v>
      </c>
      <c r="J108" s="8">
        <f t="shared" si="12"/>
        <v>1600</v>
      </c>
      <c r="K108" s="8">
        <f t="shared" si="15"/>
        <v>2.5848096071104716</v>
      </c>
      <c r="L108" s="8">
        <f t="shared" si="16"/>
        <v>49.999999999999993</v>
      </c>
      <c r="M108" s="8">
        <f t="shared" si="17"/>
        <v>129.24048035552357</v>
      </c>
      <c r="N108" s="8">
        <f t="shared" si="9"/>
        <v>1.2924048035552358</v>
      </c>
    </row>
    <row r="109" spans="1:19" s="5" customFormat="1" ht="13.2" x14ac:dyDescent="0.3">
      <c r="A109" s="6"/>
      <c r="E109" s="5">
        <v>107</v>
      </c>
      <c r="F109" s="5">
        <f t="shared" si="10"/>
        <v>107</v>
      </c>
      <c r="G109" s="8">
        <f t="shared" si="13"/>
        <v>12.660006039245996</v>
      </c>
      <c r="H109" s="8">
        <f t="shared" si="14"/>
        <v>633.03653440383516</v>
      </c>
      <c r="I109" s="8">
        <f t="shared" si="11"/>
        <v>0</v>
      </c>
      <c r="J109" s="8">
        <f t="shared" si="12"/>
        <v>1600</v>
      </c>
      <c r="K109" s="8">
        <f t="shared" si="15"/>
        <v>2.5275002516352503</v>
      </c>
      <c r="L109" s="8">
        <f t="shared" si="16"/>
        <v>49.999999999999993</v>
      </c>
      <c r="M109" s="8">
        <f t="shared" si="17"/>
        <v>126.37501258176249</v>
      </c>
      <c r="N109" s="8">
        <f t="shared" si="9"/>
        <v>1.2637501258176249</v>
      </c>
    </row>
    <row r="110" spans="1:19" s="5" customFormat="1" ht="13.2" x14ac:dyDescent="0.3">
      <c r="A110" s="6"/>
      <c r="E110" s="5">
        <v>108</v>
      </c>
      <c r="F110" s="5">
        <f t="shared" si="10"/>
        <v>108</v>
      </c>
      <c r="G110" s="8">
        <f t="shared" si="13"/>
        <v>11.470660898461166</v>
      </c>
      <c r="H110" s="8">
        <f t="shared" si="14"/>
        <v>645.69654044308118</v>
      </c>
      <c r="I110" s="8">
        <f t="shared" si="11"/>
        <v>0</v>
      </c>
      <c r="J110" s="8">
        <f t="shared" si="12"/>
        <v>1600</v>
      </c>
      <c r="K110" s="8">
        <f t="shared" si="15"/>
        <v>2.477944204102549</v>
      </c>
      <c r="L110" s="8">
        <f t="shared" si="16"/>
        <v>49.999999999999993</v>
      </c>
      <c r="M110" s="8">
        <f t="shared" si="17"/>
        <v>123.89721020512744</v>
      </c>
      <c r="N110" s="8">
        <f t="shared" si="9"/>
        <v>1.2389721020512743</v>
      </c>
    </row>
    <row r="111" spans="1:19" s="5" customFormat="1" ht="13.2" x14ac:dyDescent="0.3">
      <c r="A111" s="6"/>
      <c r="E111" s="5">
        <v>109</v>
      </c>
      <c r="F111" s="5">
        <f t="shared" si="10"/>
        <v>109</v>
      </c>
      <c r="G111" s="8">
        <f t="shared" si="13"/>
        <v>10.432617941994323</v>
      </c>
      <c r="H111" s="8">
        <f t="shared" si="14"/>
        <v>657.1672013415423</v>
      </c>
      <c r="I111" s="8">
        <f t="shared" si="11"/>
        <v>0</v>
      </c>
      <c r="J111" s="8">
        <f t="shared" si="12"/>
        <v>1600</v>
      </c>
      <c r="K111" s="8">
        <f t="shared" si="15"/>
        <v>2.4346924142497635</v>
      </c>
      <c r="L111" s="8">
        <f t="shared" si="16"/>
        <v>50</v>
      </c>
      <c r="M111" s="8">
        <f t="shared" si="17"/>
        <v>121.73462071248818</v>
      </c>
      <c r="N111" s="8">
        <f t="shared" si="9"/>
        <v>1.2173462071248817</v>
      </c>
    </row>
    <row r="112" spans="1:19" s="5" customFormat="1" ht="13.2" x14ac:dyDescent="0.3">
      <c r="A112" s="6"/>
      <c r="E112" s="5">
        <v>110</v>
      </c>
      <c r="F112" s="5">
        <f t="shared" si="10"/>
        <v>110</v>
      </c>
      <c r="G112" s="8">
        <f t="shared" si="13"/>
        <v>9.5194883084459292</v>
      </c>
      <c r="H112" s="8">
        <f t="shared" si="14"/>
        <v>667.59981928353659</v>
      </c>
      <c r="I112" s="8">
        <f t="shared" si="11"/>
        <v>0</v>
      </c>
      <c r="J112" s="8">
        <f t="shared" si="12"/>
        <v>1600</v>
      </c>
      <c r="K112" s="8">
        <f t="shared" si="15"/>
        <v>2.396645346185247</v>
      </c>
      <c r="L112" s="8">
        <f t="shared" si="16"/>
        <v>50</v>
      </c>
      <c r="M112" s="8">
        <f t="shared" si="17"/>
        <v>119.83226730926235</v>
      </c>
      <c r="N112" s="8">
        <f t="shared" si="9"/>
        <v>1.1983226730926235</v>
      </c>
    </row>
    <row r="113" spans="1:14" s="5" customFormat="1" ht="13.2" x14ac:dyDescent="0.3">
      <c r="A113" s="6"/>
      <c r="E113" s="5">
        <v>111</v>
      </c>
      <c r="F113" s="5">
        <f t="shared" si="10"/>
        <v>111</v>
      </c>
      <c r="G113" s="8">
        <f t="shared" si="13"/>
        <v>0</v>
      </c>
      <c r="H113" s="8">
        <f t="shared" si="14"/>
        <v>677.11930759198253</v>
      </c>
      <c r="I113" s="8">
        <f t="shared" si="11"/>
        <v>19.084772303679301</v>
      </c>
      <c r="J113" s="8">
        <f t="shared" si="12"/>
        <v>400</v>
      </c>
      <c r="K113" s="8">
        <f t="shared" si="15"/>
        <v>0.59073784415113939</v>
      </c>
      <c r="L113" s="8">
        <f t="shared" si="16"/>
        <v>50</v>
      </c>
      <c r="M113" s="8">
        <f t="shared" si="17"/>
        <v>29.536892207556971</v>
      </c>
      <c r="N113" s="8">
        <f t="shared" si="9"/>
        <v>0.2953689220755697</v>
      </c>
    </row>
    <row r="114" spans="1:14" s="5" customFormat="1" ht="13.2" x14ac:dyDescent="0.3">
      <c r="A114" s="6"/>
      <c r="E114" s="5">
        <v>112</v>
      </c>
      <c r="F114" s="5">
        <f t="shared" si="10"/>
        <v>112</v>
      </c>
      <c r="G114" s="8">
        <f t="shared" si="13"/>
        <v>0</v>
      </c>
      <c r="H114" s="8">
        <f t="shared" si="14"/>
        <v>658.03453528830323</v>
      </c>
      <c r="I114" s="8">
        <f t="shared" si="11"/>
        <v>18.32138141153213</v>
      </c>
      <c r="J114" s="8">
        <f t="shared" si="12"/>
        <v>400</v>
      </c>
      <c r="K114" s="8">
        <f t="shared" si="15"/>
        <v>0.60787083131548536</v>
      </c>
      <c r="L114" s="8">
        <f t="shared" si="16"/>
        <v>50</v>
      </c>
      <c r="M114" s="8">
        <f t="shared" si="17"/>
        <v>30.393541565774267</v>
      </c>
      <c r="N114" s="8">
        <f t="shared" si="9"/>
        <v>0.30393541565774268</v>
      </c>
    </row>
    <row r="115" spans="1:14" s="5" customFormat="1" ht="13.2" x14ac:dyDescent="0.3">
      <c r="A115" s="6"/>
      <c r="E115" s="5">
        <v>113</v>
      </c>
      <c r="F115" s="5">
        <f t="shared" si="10"/>
        <v>113</v>
      </c>
      <c r="G115" s="8">
        <f t="shared" si="13"/>
        <v>0</v>
      </c>
      <c r="H115" s="8">
        <f t="shared" si="14"/>
        <v>639.71315387677112</v>
      </c>
      <c r="I115" s="8">
        <f t="shared" si="11"/>
        <v>17.588526155070845</v>
      </c>
      <c r="J115" s="8">
        <f t="shared" si="12"/>
        <v>400</v>
      </c>
      <c r="K115" s="8">
        <f t="shared" si="15"/>
        <v>0.62528024877389432</v>
      </c>
      <c r="L115" s="8">
        <f t="shared" si="16"/>
        <v>50</v>
      </c>
      <c r="M115" s="8">
        <f t="shared" si="17"/>
        <v>31.264012438694717</v>
      </c>
      <c r="N115" s="8">
        <f t="shared" si="9"/>
        <v>0.31264012438694716</v>
      </c>
    </row>
    <row r="116" spans="1:14" s="5" customFormat="1" ht="13.2" x14ac:dyDescent="0.3">
      <c r="A116" s="6"/>
      <c r="E116" s="5">
        <v>114</v>
      </c>
      <c r="F116" s="5">
        <f t="shared" si="10"/>
        <v>114</v>
      </c>
      <c r="G116" s="8">
        <f t="shared" si="13"/>
        <v>0</v>
      </c>
      <c r="H116" s="8">
        <f t="shared" si="14"/>
        <v>622.12462772170022</v>
      </c>
      <c r="I116" s="8">
        <f t="shared" si="11"/>
        <v>16.884985108868008</v>
      </c>
      <c r="J116" s="8">
        <f t="shared" si="12"/>
        <v>400</v>
      </c>
      <c r="K116" s="8">
        <f t="shared" si="15"/>
        <v>0.64295798972763873</v>
      </c>
      <c r="L116" s="8">
        <f t="shared" si="16"/>
        <v>50</v>
      </c>
      <c r="M116" s="8">
        <f t="shared" si="17"/>
        <v>32.147899486381938</v>
      </c>
      <c r="N116" s="8">
        <f t="shared" si="9"/>
        <v>0.32147899486381937</v>
      </c>
    </row>
    <row r="117" spans="1:14" s="5" customFormat="1" ht="13.2" x14ac:dyDescent="0.3">
      <c r="A117" s="6"/>
      <c r="E117" s="5">
        <v>115</v>
      </c>
      <c r="F117" s="5">
        <f t="shared" si="10"/>
        <v>115</v>
      </c>
      <c r="G117" s="8">
        <f t="shared" si="13"/>
        <v>0</v>
      </c>
      <c r="H117" s="8">
        <f t="shared" si="14"/>
        <v>605.2396426128322</v>
      </c>
      <c r="I117" s="8">
        <f t="shared" si="11"/>
        <v>16.209585704513287</v>
      </c>
      <c r="J117" s="8">
        <f t="shared" si="12"/>
        <v>400</v>
      </c>
      <c r="K117" s="8">
        <f t="shared" si="15"/>
        <v>0.66089524188004545</v>
      </c>
      <c r="L117" s="8">
        <f t="shared" si="16"/>
        <v>50</v>
      </c>
      <c r="M117" s="8">
        <f t="shared" si="17"/>
        <v>33.044762094002273</v>
      </c>
      <c r="N117" s="8">
        <f t="shared" si="9"/>
        <v>0.33044762094002272</v>
      </c>
    </row>
    <row r="118" spans="1:14" s="5" customFormat="1" ht="13.2" x14ac:dyDescent="0.3">
      <c r="A118" s="6"/>
      <c r="E118" s="5">
        <v>116</v>
      </c>
      <c r="F118" s="5">
        <f t="shared" si="10"/>
        <v>116</v>
      </c>
      <c r="G118" s="8">
        <f t="shared" si="13"/>
        <v>0</v>
      </c>
      <c r="H118" s="8">
        <f t="shared" si="14"/>
        <v>589.0300569083189</v>
      </c>
      <c r="I118" s="8">
        <f t="shared" si="11"/>
        <v>15.561202276332756</v>
      </c>
      <c r="J118" s="8">
        <f t="shared" si="12"/>
        <v>400</v>
      </c>
      <c r="K118" s="8">
        <f t="shared" si="15"/>
        <v>0.67908249385355057</v>
      </c>
      <c r="L118" s="8">
        <f t="shared" si="16"/>
        <v>50</v>
      </c>
      <c r="M118" s="8">
        <f t="shared" si="17"/>
        <v>33.954124692677532</v>
      </c>
      <c r="N118" s="8">
        <f t="shared" si="9"/>
        <v>0.33954124692677534</v>
      </c>
    </row>
    <row r="119" spans="1:14" s="5" customFormat="1" ht="13.2" x14ac:dyDescent="0.3">
      <c r="A119" s="6"/>
      <c r="E119" s="5">
        <v>117</v>
      </c>
      <c r="F119" s="5">
        <f t="shared" si="10"/>
        <v>117</v>
      </c>
      <c r="G119" s="8">
        <f t="shared" si="13"/>
        <v>0</v>
      </c>
      <c r="H119" s="8">
        <f t="shared" si="14"/>
        <v>573.46885463198612</v>
      </c>
      <c r="I119" s="8">
        <f t="shared" si="11"/>
        <v>14.938754185279445</v>
      </c>
      <c r="J119" s="8">
        <f t="shared" si="12"/>
        <v>400</v>
      </c>
      <c r="K119" s="8">
        <f t="shared" si="15"/>
        <v>0.6975095452336173</v>
      </c>
      <c r="L119" s="8">
        <f t="shared" si="16"/>
        <v>50</v>
      </c>
      <c r="M119" s="8">
        <f t="shared" si="17"/>
        <v>34.875477261680864</v>
      </c>
      <c r="N119" s="8">
        <f t="shared" si="9"/>
        <v>0.34875477261680865</v>
      </c>
    </row>
    <row r="120" spans="1:14" s="5" customFormat="1" ht="13.2" x14ac:dyDescent="0.3">
      <c r="A120" s="6"/>
      <c r="E120" s="5">
        <v>118</v>
      </c>
      <c r="F120" s="5">
        <f t="shared" si="10"/>
        <v>118</v>
      </c>
      <c r="G120" s="8">
        <f t="shared" si="13"/>
        <v>0</v>
      </c>
      <c r="H120" s="8">
        <f t="shared" si="14"/>
        <v>558.53010044670668</v>
      </c>
      <c r="I120" s="8">
        <f t="shared" si="11"/>
        <v>14.341204017868268</v>
      </c>
      <c r="J120" s="8">
        <f t="shared" si="12"/>
        <v>400</v>
      </c>
      <c r="K120" s="8">
        <f t="shared" si="15"/>
        <v>0.71616552031857206</v>
      </c>
      <c r="L120" s="8">
        <f t="shared" si="16"/>
        <v>50</v>
      </c>
      <c r="M120" s="8">
        <f t="shared" si="17"/>
        <v>35.808276015928605</v>
      </c>
      <c r="N120" s="8">
        <f t="shared" si="9"/>
        <v>0.35808276015928603</v>
      </c>
    </row>
    <row r="121" spans="1:14" s="5" customFormat="1" ht="13.2" x14ac:dyDescent="0.3">
      <c r="A121" s="6"/>
      <c r="E121" s="5">
        <v>119</v>
      </c>
      <c r="F121" s="5">
        <f t="shared" si="10"/>
        <v>119</v>
      </c>
      <c r="G121" s="8">
        <f t="shared" si="13"/>
        <v>0</v>
      </c>
      <c r="H121" s="8">
        <f t="shared" si="14"/>
        <v>544.18889642883846</v>
      </c>
      <c r="I121" s="8">
        <f t="shared" si="11"/>
        <v>13.767555857153541</v>
      </c>
      <c r="J121" s="8">
        <f t="shared" si="12"/>
        <v>400</v>
      </c>
      <c r="K121" s="8">
        <f t="shared" si="15"/>
        <v>0.73503888562398567</v>
      </c>
      <c r="L121" s="8">
        <f t="shared" si="16"/>
        <v>50</v>
      </c>
      <c r="M121" s="8">
        <f t="shared" si="17"/>
        <v>36.751944281199286</v>
      </c>
      <c r="N121" s="8">
        <f t="shared" si="9"/>
        <v>0.36751944281199284</v>
      </c>
    </row>
    <row r="122" spans="1:14" s="5" customFormat="1" ht="13.2" x14ac:dyDescent="0.3">
      <c r="A122" s="6"/>
      <c r="E122" s="5">
        <v>120</v>
      </c>
      <c r="F122" s="5">
        <f t="shared" si="10"/>
        <v>120</v>
      </c>
      <c r="G122" s="8">
        <f t="shared" si="13"/>
        <v>0</v>
      </c>
      <c r="H122" s="8">
        <f t="shared" si="14"/>
        <v>530.42134057168494</v>
      </c>
      <c r="I122" s="8">
        <f t="shared" si="11"/>
        <v>13.216853622867397</v>
      </c>
      <c r="J122" s="8">
        <f t="shared" si="12"/>
        <v>400</v>
      </c>
      <c r="K122" s="8">
        <f t="shared" si="15"/>
        <v>0.75411747115770722</v>
      </c>
      <c r="L122" s="8">
        <f t="shared" si="16"/>
        <v>50</v>
      </c>
      <c r="M122" s="8">
        <f t="shared" si="17"/>
        <v>37.705873557885361</v>
      </c>
      <c r="N122" s="8">
        <f t="shared" si="9"/>
        <v>0.37705873557885361</v>
      </c>
    </row>
    <row r="123" spans="1:14" s="5" customFormat="1" ht="13.2" x14ac:dyDescent="0.3">
      <c r="A123" s="6"/>
      <c r="E123" s="5">
        <v>121</v>
      </c>
      <c r="F123" s="5">
        <f t="shared" si="10"/>
        <v>121</v>
      </c>
      <c r="G123" s="8">
        <f t="shared" si="13"/>
        <v>26.245295562952176</v>
      </c>
      <c r="H123" s="8">
        <f t="shared" si="14"/>
        <v>517.20448694881759</v>
      </c>
      <c r="I123" s="8">
        <f t="shared" si="11"/>
        <v>0</v>
      </c>
      <c r="J123" s="8">
        <f t="shared" si="12"/>
        <v>1600</v>
      </c>
      <c r="K123" s="8">
        <f t="shared" si="15"/>
        <v>3</v>
      </c>
      <c r="L123" s="8">
        <f t="shared" si="16"/>
        <v>51.559233029827901</v>
      </c>
      <c r="M123" s="8">
        <f t="shared" si="17"/>
        <v>154.6776990894837</v>
      </c>
      <c r="N123" s="8">
        <f t="shared" si="9"/>
        <v>1.546776990894837</v>
      </c>
    </row>
    <row r="124" spans="1:14" s="5" customFormat="1" ht="13.2" x14ac:dyDescent="0.3">
      <c r="A124" s="6"/>
      <c r="E124" s="5">
        <v>122</v>
      </c>
      <c r="F124" s="5">
        <f t="shared" si="10"/>
        <v>122</v>
      </c>
      <c r="G124" s="8">
        <f t="shared" si="13"/>
        <v>22.659702581016973</v>
      </c>
      <c r="H124" s="8">
        <f t="shared" si="14"/>
        <v>543.44978251176974</v>
      </c>
      <c r="I124" s="8">
        <f t="shared" si="11"/>
        <v>0</v>
      </c>
      <c r="J124" s="8">
        <f t="shared" si="12"/>
        <v>1600</v>
      </c>
      <c r="K124" s="8">
        <f t="shared" si="15"/>
        <v>2.9441542742090396</v>
      </c>
      <c r="L124" s="8">
        <f t="shared" si="16"/>
        <v>50.000000000000014</v>
      </c>
      <c r="M124" s="8">
        <f t="shared" si="17"/>
        <v>147.20771371045203</v>
      </c>
      <c r="N124" s="8">
        <f t="shared" si="9"/>
        <v>1.4720771371045203</v>
      </c>
    </row>
    <row r="125" spans="1:14" s="5" customFormat="1" ht="13.2" x14ac:dyDescent="0.3">
      <c r="A125" s="6"/>
      <c r="E125" s="5">
        <v>123</v>
      </c>
      <c r="F125" s="5">
        <f t="shared" si="10"/>
        <v>123</v>
      </c>
      <c r="G125" s="8">
        <f t="shared" si="13"/>
        <v>19.831401895176072</v>
      </c>
      <c r="H125" s="8">
        <f t="shared" si="14"/>
        <v>566.10948509278671</v>
      </c>
      <c r="I125" s="8">
        <f t="shared" si="11"/>
        <v>0</v>
      </c>
      <c r="J125" s="8">
        <f t="shared" si="12"/>
        <v>1600</v>
      </c>
      <c r="K125" s="8">
        <f t="shared" si="15"/>
        <v>2.826308412299003</v>
      </c>
      <c r="L125" s="8">
        <f t="shared" si="16"/>
        <v>50</v>
      </c>
      <c r="M125" s="8">
        <f t="shared" si="17"/>
        <v>141.31542061495014</v>
      </c>
      <c r="N125" s="8">
        <f t="shared" si="9"/>
        <v>1.4131542061495015</v>
      </c>
    </row>
    <row r="126" spans="1:14" s="5" customFormat="1" ht="13.2" x14ac:dyDescent="0.3">
      <c r="A126" s="6"/>
      <c r="E126" s="5">
        <v>124</v>
      </c>
      <c r="F126" s="5">
        <f t="shared" si="10"/>
        <v>124</v>
      </c>
      <c r="G126" s="8">
        <f t="shared" si="13"/>
        <v>17.535621173998848</v>
      </c>
      <c r="H126" s="8">
        <f t="shared" si="14"/>
        <v>585.94088698796281</v>
      </c>
      <c r="I126" s="8">
        <f t="shared" si="11"/>
        <v>0</v>
      </c>
      <c r="J126" s="8">
        <f t="shared" si="12"/>
        <v>1600</v>
      </c>
      <c r="K126" s="8">
        <f t="shared" si="15"/>
        <v>2.730650882249952</v>
      </c>
      <c r="L126" s="8">
        <f t="shared" si="16"/>
        <v>50</v>
      </c>
      <c r="M126" s="8">
        <f t="shared" si="17"/>
        <v>136.53254411249759</v>
      </c>
      <c r="N126" s="8">
        <f t="shared" si="9"/>
        <v>1.365325441124976</v>
      </c>
    </row>
    <row r="127" spans="1:14" s="5" customFormat="1" ht="13.2" x14ac:dyDescent="0.3">
      <c r="A127" s="6"/>
      <c r="E127" s="5">
        <v>125</v>
      </c>
      <c r="F127" s="5">
        <f t="shared" si="10"/>
        <v>125</v>
      </c>
      <c r="G127" s="8">
        <f t="shared" si="13"/>
        <v>15.631308726427115</v>
      </c>
      <c r="H127" s="8">
        <f t="shared" si="14"/>
        <v>603.47650816196165</v>
      </c>
      <c r="I127" s="8">
        <f t="shared" si="11"/>
        <v>0</v>
      </c>
      <c r="J127" s="8">
        <f t="shared" si="12"/>
        <v>1600</v>
      </c>
      <c r="K127" s="8">
        <f t="shared" si="15"/>
        <v>2.6513045302677969</v>
      </c>
      <c r="L127" s="8">
        <f t="shared" si="16"/>
        <v>50</v>
      </c>
      <c r="M127" s="8">
        <f t="shared" si="17"/>
        <v>132.56522651338983</v>
      </c>
      <c r="N127" s="8">
        <f t="shared" si="9"/>
        <v>1.3256522651338982</v>
      </c>
    </row>
    <row r="128" spans="1:14" s="5" customFormat="1" ht="13.2" x14ac:dyDescent="0.3">
      <c r="A128" s="6"/>
      <c r="E128" s="5">
        <v>126</v>
      </c>
      <c r="F128" s="5">
        <f t="shared" si="10"/>
        <v>126</v>
      </c>
      <c r="G128" s="8">
        <f t="shared" si="13"/>
        <v>14.024737779918311</v>
      </c>
      <c r="H128" s="8">
        <f t="shared" si="14"/>
        <v>619.10781688838881</v>
      </c>
      <c r="I128" s="8">
        <f t="shared" si="11"/>
        <v>0</v>
      </c>
      <c r="J128" s="8">
        <f t="shared" si="12"/>
        <v>1600</v>
      </c>
      <c r="K128" s="8">
        <f t="shared" si="15"/>
        <v>2.584364074163263</v>
      </c>
      <c r="L128" s="8">
        <f t="shared" si="16"/>
        <v>50</v>
      </c>
      <c r="M128" s="8">
        <f t="shared" si="17"/>
        <v>129.21820370816314</v>
      </c>
      <c r="N128" s="8">
        <f t="shared" si="9"/>
        <v>1.2921820370816315</v>
      </c>
    </row>
    <row r="129" spans="1:14" s="5" customFormat="1" ht="13.2" x14ac:dyDescent="0.3">
      <c r="A129" s="6"/>
      <c r="E129" s="5">
        <v>127</v>
      </c>
      <c r="F129" s="5">
        <f t="shared" si="10"/>
        <v>127</v>
      </c>
      <c r="G129" s="8">
        <f t="shared" si="13"/>
        <v>12.650806402013938</v>
      </c>
      <c r="H129" s="8">
        <f t="shared" si="14"/>
        <v>633.13255466830708</v>
      </c>
      <c r="I129" s="8">
        <f t="shared" si="11"/>
        <v>0</v>
      </c>
      <c r="J129" s="8">
        <f t="shared" si="12"/>
        <v>1600</v>
      </c>
      <c r="K129" s="8">
        <f t="shared" si="15"/>
        <v>2.5271169334172474</v>
      </c>
      <c r="L129" s="8">
        <f t="shared" si="16"/>
        <v>50</v>
      </c>
      <c r="M129" s="8">
        <f t="shared" si="17"/>
        <v>126.35584667086238</v>
      </c>
      <c r="N129" s="8">
        <f t="shared" si="9"/>
        <v>1.2635584667086237</v>
      </c>
    </row>
    <row r="130" spans="1:14" s="5" customFormat="1" ht="13.2" x14ac:dyDescent="0.3">
      <c r="A130" s="6"/>
      <c r="E130" s="5">
        <v>128</v>
      </c>
      <c r="F130" s="5">
        <f t="shared" si="10"/>
        <v>128</v>
      </c>
      <c r="G130" s="8">
        <f t="shared" si="13"/>
        <v>11.462665523552452</v>
      </c>
      <c r="H130" s="8">
        <f t="shared" si="14"/>
        <v>645.78336107032101</v>
      </c>
      <c r="I130" s="8">
        <f t="shared" si="11"/>
        <v>0</v>
      </c>
      <c r="J130" s="8">
        <f t="shared" si="12"/>
        <v>1600</v>
      </c>
      <c r="K130" s="8">
        <f t="shared" si="15"/>
        <v>2.4776110634813522</v>
      </c>
      <c r="L130" s="8">
        <f t="shared" si="16"/>
        <v>50</v>
      </c>
      <c r="M130" s="8">
        <f t="shared" si="17"/>
        <v>123.88055317406761</v>
      </c>
      <c r="N130" s="8">
        <f t="shared" ref="N130:N193" si="18">M130/$B$10</f>
        <v>1.2388055317406761</v>
      </c>
    </row>
    <row r="131" spans="1:14" s="5" customFormat="1" ht="13.2" x14ac:dyDescent="0.3">
      <c r="A131" s="6"/>
      <c r="E131" s="5">
        <v>129</v>
      </c>
      <c r="F131" s="5">
        <f t="shared" ref="F131:F194" si="19">E131*$B$2</f>
        <v>129</v>
      </c>
      <c r="G131" s="8">
        <f t="shared" si="13"/>
        <v>10.425609963752876</v>
      </c>
      <c r="H131" s="8">
        <f t="shared" si="14"/>
        <v>657.24602659387347</v>
      </c>
      <c r="I131" s="8">
        <f t="shared" ref="I131:I194" si="20">H131*$B$5*$B$2*MAX(0,1-N131)</f>
        <v>0</v>
      </c>
      <c r="J131" s="8">
        <f t="shared" ref="J131:J194" si="21">IF(F131&lt;=10,$B$6,IF(F131&lt;=20,$B$6-$B$6*$B$12,IF(F131&lt;=30,$B$6+$B$6*$B$12,IF(F131&lt;=40,$B$6-$B$6*$B$12,IF(F131&lt;=50,$B$6+$B$6*$B$12,IF(F131&lt;=60,$B$6-$B$6*$B$12,IF(F131&lt;=70,$B$6+$B$6*$B$12,IF(F131&lt;=80,$B$6-$B$6*$B$12,IF(F131&lt;=90,$B$6+$B$6*$B$12,IF(F131&lt;=100,$B$6-$B$6*$B$12,IF(F131&lt;=110,$B$6+$B$6*$B$12,IF(F131&lt;=120,$B$6-$B$6*$B$12,IF(F131&lt;=130,$B$6+$B$6*$B$12,IF(F131&lt;=140,$B$6-$B$6*$B$12,IF(F131&lt;=150,$B$6+$B$6*$B$12,IF(F131&lt;=160,$B$6-$B$6*$B$12,IF(F131&lt;=170,$B$6+$B$6*$B$12,IF(F131&lt;=180,$B$6-$B$6*$B$12,IF(F131&lt;=190,$B$6+$B$6*$B$12,IF(F131&lt;=200,$B$6-$B$6*$B$12,$B$6))))))))))))))))))))</f>
        <v>1600</v>
      </c>
      <c r="K131" s="8">
        <f t="shared" si="15"/>
        <v>2.4344004151563698</v>
      </c>
      <c r="L131" s="8">
        <f t="shared" si="16"/>
        <v>50</v>
      </c>
      <c r="M131" s="8">
        <f t="shared" si="17"/>
        <v>121.72002075781849</v>
      </c>
      <c r="N131" s="8">
        <f t="shared" si="18"/>
        <v>1.2172002075781849</v>
      </c>
    </row>
    <row r="132" spans="1:14" s="5" customFormat="1" ht="13.2" x14ac:dyDescent="0.3">
      <c r="A132" s="6"/>
      <c r="E132" s="5">
        <v>130</v>
      </c>
      <c r="F132" s="5">
        <f t="shared" si="19"/>
        <v>130</v>
      </c>
      <c r="G132" s="8">
        <f t="shared" ref="G132:G195" si="22">MAX(0,IF(N132&gt;=1,J132*$B$4*$B$2*(N132-1),0))</f>
        <v>9.5133012958020551</v>
      </c>
      <c r="H132" s="8">
        <f t="shared" ref="H132:H195" si="23">H131+(G131-I131)</f>
        <v>667.67163655762636</v>
      </c>
      <c r="I132" s="8">
        <f t="shared" si="20"/>
        <v>0</v>
      </c>
      <c r="J132" s="8">
        <f t="shared" si="21"/>
        <v>1600</v>
      </c>
      <c r="K132" s="8">
        <f t="shared" ref="K132:K195" si="24">MIN($B$11,J132/H132)</f>
        <v>2.3963875539917514</v>
      </c>
      <c r="L132" s="8">
        <f t="shared" ref="L132:L195" si="25">$B$8*(J132/(H132*K132))</f>
        <v>50.000000000000014</v>
      </c>
      <c r="M132" s="8">
        <f t="shared" ref="M132:M195" si="26">K132*L132</f>
        <v>119.8193776995876</v>
      </c>
      <c r="N132" s="8">
        <f t="shared" si="18"/>
        <v>1.1981937769958761</v>
      </c>
    </row>
    <row r="133" spans="1:14" s="5" customFormat="1" ht="13.2" x14ac:dyDescent="0.3">
      <c r="A133" s="6"/>
      <c r="E133" s="5">
        <v>131</v>
      </c>
      <c r="F133" s="5">
        <f t="shared" si="19"/>
        <v>131</v>
      </c>
      <c r="G133" s="8">
        <f t="shared" si="22"/>
        <v>0</v>
      </c>
      <c r="H133" s="8">
        <f t="shared" si="23"/>
        <v>677.18493785342844</v>
      </c>
      <c r="I133" s="8">
        <f t="shared" si="20"/>
        <v>19.087397514137137</v>
      </c>
      <c r="J133" s="8">
        <f t="shared" si="21"/>
        <v>400</v>
      </c>
      <c r="K133" s="8">
        <f t="shared" si="24"/>
        <v>0.5906805920225251</v>
      </c>
      <c r="L133" s="8">
        <f t="shared" si="25"/>
        <v>50</v>
      </c>
      <c r="M133" s="8">
        <f t="shared" si="26"/>
        <v>29.534029601126257</v>
      </c>
      <c r="N133" s="8">
        <f t="shared" si="18"/>
        <v>0.29534029601126255</v>
      </c>
    </row>
    <row r="134" spans="1:14" s="5" customFormat="1" ht="13.2" x14ac:dyDescent="0.3">
      <c r="A134" s="6"/>
      <c r="E134" s="5">
        <v>132</v>
      </c>
      <c r="F134" s="5">
        <f t="shared" si="19"/>
        <v>132</v>
      </c>
      <c r="G134" s="8">
        <f t="shared" si="22"/>
        <v>0</v>
      </c>
      <c r="H134" s="8">
        <f t="shared" si="23"/>
        <v>658.0975403392913</v>
      </c>
      <c r="I134" s="8">
        <f t="shared" si="20"/>
        <v>18.323901613571653</v>
      </c>
      <c r="J134" s="8">
        <f t="shared" si="21"/>
        <v>400</v>
      </c>
      <c r="K134" s="8">
        <f t="shared" si="24"/>
        <v>0.60781263487745973</v>
      </c>
      <c r="L134" s="8">
        <f t="shared" si="25"/>
        <v>50</v>
      </c>
      <c r="M134" s="8">
        <f t="shared" si="26"/>
        <v>30.390631743872987</v>
      </c>
      <c r="N134" s="8">
        <f t="shared" si="18"/>
        <v>0.30390631743872987</v>
      </c>
    </row>
    <row r="135" spans="1:14" s="5" customFormat="1" ht="13.2" x14ac:dyDescent="0.3">
      <c r="A135" s="6"/>
      <c r="E135" s="5">
        <v>133</v>
      </c>
      <c r="F135" s="5">
        <f t="shared" si="19"/>
        <v>133</v>
      </c>
      <c r="G135" s="8">
        <f t="shared" si="22"/>
        <v>0</v>
      </c>
      <c r="H135" s="8">
        <f t="shared" si="23"/>
        <v>639.77363872571959</v>
      </c>
      <c r="I135" s="8">
        <f t="shared" si="20"/>
        <v>17.590945549028785</v>
      </c>
      <c r="J135" s="8">
        <f t="shared" si="21"/>
        <v>400</v>
      </c>
      <c r="K135" s="8">
        <f t="shared" si="24"/>
        <v>0.62522113414473757</v>
      </c>
      <c r="L135" s="8">
        <f t="shared" si="25"/>
        <v>50</v>
      </c>
      <c r="M135" s="8">
        <f t="shared" si="26"/>
        <v>31.261056707236879</v>
      </c>
      <c r="N135" s="8">
        <f t="shared" si="18"/>
        <v>0.31261056707236878</v>
      </c>
    </row>
    <row r="136" spans="1:14" s="5" customFormat="1" ht="13.2" x14ac:dyDescent="0.3">
      <c r="A136" s="6"/>
      <c r="E136" s="5">
        <v>134</v>
      </c>
      <c r="F136" s="5">
        <f t="shared" si="19"/>
        <v>134</v>
      </c>
      <c r="G136" s="8">
        <f t="shared" si="22"/>
        <v>0</v>
      </c>
      <c r="H136" s="8">
        <f t="shared" si="23"/>
        <v>622.1826931766908</v>
      </c>
      <c r="I136" s="8">
        <f t="shared" si="20"/>
        <v>16.887307727067633</v>
      </c>
      <c r="J136" s="8">
        <f t="shared" si="21"/>
        <v>400</v>
      </c>
      <c r="K136" s="8">
        <f t="shared" si="24"/>
        <v>0.64289798540957788</v>
      </c>
      <c r="L136" s="8">
        <f t="shared" si="25"/>
        <v>49.999999999999993</v>
      </c>
      <c r="M136" s="8">
        <f t="shared" si="26"/>
        <v>32.144899270478888</v>
      </c>
      <c r="N136" s="8">
        <f t="shared" si="18"/>
        <v>0.32144899270478888</v>
      </c>
    </row>
    <row r="137" spans="1:14" s="5" customFormat="1" ht="13.2" x14ac:dyDescent="0.3">
      <c r="A137" s="6"/>
      <c r="E137" s="5">
        <v>135</v>
      </c>
      <c r="F137" s="5">
        <f t="shared" si="19"/>
        <v>135</v>
      </c>
      <c r="G137" s="8">
        <f t="shared" si="22"/>
        <v>0</v>
      </c>
      <c r="H137" s="8">
        <f t="shared" si="23"/>
        <v>605.29538544962315</v>
      </c>
      <c r="I137" s="8">
        <f t="shared" si="20"/>
        <v>16.211815417984923</v>
      </c>
      <c r="J137" s="8">
        <f t="shared" si="21"/>
        <v>400</v>
      </c>
      <c r="K137" s="8">
        <f t="shared" si="24"/>
        <v>0.66083437874365014</v>
      </c>
      <c r="L137" s="8">
        <f t="shared" si="25"/>
        <v>50.000000000000014</v>
      </c>
      <c r="M137" s="8">
        <f t="shared" si="26"/>
        <v>33.041718937182516</v>
      </c>
      <c r="N137" s="8">
        <f t="shared" si="18"/>
        <v>0.33041718937182518</v>
      </c>
    </row>
    <row r="138" spans="1:14" s="5" customFormat="1" ht="13.2" x14ac:dyDescent="0.3">
      <c r="A138" s="6"/>
      <c r="E138" s="5">
        <v>136</v>
      </c>
      <c r="F138" s="5">
        <f t="shared" si="19"/>
        <v>136</v>
      </c>
      <c r="G138" s="8">
        <f t="shared" si="22"/>
        <v>0</v>
      </c>
      <c r="H138" s="8">
        <f t="shared" si="23"/>
        <v>589.08357003163826</v>
      </c>
      <c r="I138" s="8">
        <f t="shared" si="20"/>
        <v>15.563342801265531</v>
      </c>
      <c r="J138" s="8">
        <f t="shared" si="21"/>
        <v>400</v>
      </c>
      <c r="K138" s="8">
        <f t="shared" si="24"/>
        <v>0.67902080511007457</v>
      </c>
      <c r="L138" s="8">
        <f t="shared" si="25"/>
        <v>50</v>
      </c>
      <c r="M138" s="8">
        <f t="shared" si="26"/>
        <v>33.951040255503727</v>
      </c>
      <c r="N138" s="8">
        <f t="shared" si="18"/>
        <v>0.33951040255503728</v>
      </c>
    </row>
    <row r="139" spans="1:14" s="5" customFormat="1" ht="13.2" x14ac:dyDescent="0.3">
      <c r="A139" s="6"/>
      <c r="E139" s="5">
        <v>137</v>
      </c>
      <c r="F139" s="5">
        <f t="shared" si="19"/>
        <v>137</v>
      </c>
      <c r="G139" s="8">
        <f t="shared" si="22"/>
        <v>0</v>
      </c>
      <c r="H139" s="8">
        <f t="shared" si="23"/>
        <v>573.52022723037271</v>
      </c>
      <c r="I139" s="8">
        <f t="shared" si="20"/>
        <v>14.940809089214909</v>
      </c>
      <c r="J139" s="8">
        <f t="shared" si="21"/>
        <v>400</v>
      </c>
      <c r="K139" s="8">
        <f t="shared" si="24"/>
        <v>0.69744706639496989</v>
      </c>
      <c r="L139" s="8">
        <f t="shared" si="25"/>
        <v>50</v>
      </c>
      <c r="M139" s="8">
        <f t="shared" si="26"/>
        <v>34.872353319748498</v>
      </c>
      <c r="N139" s="8">
        <f t="shared" si="18"/>
        <v>0.348723533197485</v>
      </c>
    </row>
    <row r="140" spans="1:14" s="5" customFormat="1" ht="13.2" x14ac:dyDescent="0.3">
      <c r="A140" s="6"/>
      <c r="E140" s="5">
        <v>138</v>
      </c>
      <c r="F140" s="5">
        <f t="shared" si="19"/>
        <v>138</v>
      </c>
      <c r="G140" s="8">
        <f t="shared" si="22"/>
        <v>0</v>
      </c>
      <c r="H140" s="8">
        <f t="shared" si="23"/>
        <v>558.57941814115782</v>
      </c>
      <c r="I140" s="8">
        <f t="shared" si="20"/>
        <v>14.343176725646309</v>
      </c>
      <c r="J140" s="8">
        <f t="shared" si="21"/>
        <v>400</v>
      </c>
      <c r="K140" s="8">
        <f t="shared" si="24"/>
        <v>0.7161022891447042</v>
      </c>
      <c r="L140" s="8">
        <f t="shared" si="25"/>
        <v>50</v>
      </c>
      <c r="M140" s="8">
        <f t="shared" si="26"/>
        <v>35.805114457235213</v>
      </c>
      <c r="N140" s="8">
        <f t="shared" si="18"/>
        <v>0.35805114457235215</v>
      </c>
    </row>
    <row r="141" spans="1:14" s="5" customFormat="1" ht="13.2" x14ac:dyDescent="0.3">
      <c r="A141" s="6"/>
      <c r="E141" s="5">
        <v>139</v>
      </c>
      <c r="F141" s="5">
        <f t="shared" si="19"/>
        <v>139</v>
      </c>
      <c r="G141" s="8">
        <f t="shared" si="22"/>
        <v>0</v>
      </c>
      <c r="H141" s="8">
        <f t="shared" si="23"/>
        <v>544.23624141551147</v>
      </c>
      <c r="I141" s="8">
        <f t="shared" si="20"/>
        <v>13.769449656620457</v>
      </c>
      <c r="J141" s="8">
        <f t="shared" si="21"/>
        <v>400</v>
      </c>
      <c r="K141" s="8">
        <f t="shared" si="24"/>
        <v>0.73497494205757874</v>
      </c>
      <c r="L141" s="8">
        <f t="shared" si="25"/>
        <v>50</v>
      </c>
      <c r="M141" s="8">
        <f t="shared" si="26"/>
        <v>36.748747102878937</v>
      </c>
      <c r="N141" s="8">
        <f t="shared" si="18"/>
        <v>0.36748747102878937</v>
      </c>
    </row>
    <row r="142" spans="1:14" s="5" customFormat="1" ht="13.2" x14ac:dyDescent="0.3">
      <c r="A142" s="6"/>
      <c r="E142" s="5">
        <v>140</v>
      </c>
      <c r="F142" s="5">
        <f t="shared" si="19"/>
        <v>140</v>
      </c>
      <c r="G142" s="8">
        <f t="shared" si="22"/>
        <v>0</v>
      </c>
      <c r="H142" s="8">
        <f t="shared" si="23"/>
        <v>530.46679175889096</v>
      </c>
      <c r="I142" s="8">
        <f t="shared" si="20"/>
        <v>13.21867167035564</v>
      </c>
      <c r="J142" s="8">
        <f t="shared" si="21"/>
        <v>400</v>
      </c>
      <c r="K142" s="8">
        <f t="shared" si="24"/>
        <v>0.75405285724616855</v>
      </c>
      <c r="L142" s="8">
        <f t="shared" si="25"/>
        <v>50</v>
      </c>
      <c r="M142" s="8">
        <f t="shared" si="26"/>
        <v>37.70264286230843</v>
      </c>
      <c r="N142" s="8">
        <f t="shared" si="18"/>
        <v>0.37702642862308428</v>
      </c>
    </row>
    <row r="143" spans="1:14" s="5" customFormat="1" ht="13.2" x14ac:dyDescent="0.3">
      <c r="A143" s="6"/>
      <c r="E143" s="5">
        <v>141</v>
      </c>
      <c r="F143" s="5">
        <f t="shared" si="19"/>
        <v>141</v>
      </c>
      <c r="G143" s="8">
        <f t="shared" si="22"/>
        <v>26.239032504221051</v>
      </c>
      <c r="H143" s="8">
        <f t="shared" si="23"/>
        <v>517.2481200885353</v>
      </c>
      <c r="I143" s="8">
        <f t="shared" si="20"/>
        <v>0</v>
      </c>
      <c r="J143" s="8">
        <f t="shared" si="21"/>
        <v>1600</v>
      </c>
      <c r="K143" s="8">
        <f t="shared" si="24"/>
        <v>3</v>
      </c>
      <c r="L143" s="8">
        <f t="shared" si="25"/>
        <v>51.554883683486842</v>
      </c>
      <c r="M143" s="8">
        <f t="shared" si="26"/>
        <v>154.66465105046052</v>
      </c>
      <c r="N143" s="8">
        <f t="shared" si="18"/>
        <v>1.5466465105046052</v>
      </c>
    </row>
    <row r="144" spans="1:14" s="5" customFormat="1" ht="13.2" x14ac:dyDescent="0.3">
      <c r="A144" s="6"/>
      <c r="E144" s="5">
        <v>142</v>
      </c>
      <c r="F144" s="5">
        <f t="shared" si="19"/>
        <v>142</v>
      </c>
      <c r="G144" s="8">
        <f t="shared" si="22"/>
        <v>22.654844032299941</v>
      </c>
      <c r="H144" s="8">
        <f t="shared" si="23"/>
        <v>543.48715259275639</v>
      </c>
      <c r="I144" s="8">
        <f t="shared" si="20"/>
        <v>0</v>
      </c>
      <c r="J144" s="8">
        <f t="shared" si="21"/>
        <v>1600</v>
      </c>
      <c r="K144" s="8">
        <f t="shared" si="24"/>
        <v>2.9439518346791642</v>
      </c>
      <c r="L144" s="8">
        <f t="shared" si="25"/>
        <v>50</v>
      </c>
      <c r="M144" s="8">
        <f t="shared" si="26"/>
        <v>147.19759173395821</v>
      </c>
      <c r="N144" s="8">
        <f t="shared" si="18"/>
        <v>1.4719759173395821</v>
      </c>
    </row>
    <row r="145" spans="1:14" s="5" customFormat="1" ht="13.2" x14ac:dyDescent="0.3">
      <c r="A145" s="6"/>
      <c r="E145" s="5">
        <v>143</v>
      </c>
      <c r="F145" s="5">
        <f t="shared" si="19"/>
        <v>143</v>
      </c>
      <c r="G145" s="8">
        <f t="shared" si="22"/>
        <v>19.827506577703151</v>
      </c>
      <c r="H145" s="8">
        <f t="shared" si="23"/>
        <v>566.14199662505632</v>
      </c>
      <c r="I145" s="8">
        <f t="shared" si="20"/>
        <v>0</v>
      </c>
      <c r="J145" s="8">
        <f t="shared" si="21"/>
        <v>1600</v>
      </c>
      <c r="K145" s="8">
        <f t="shared" si="24"/>
        <v>2.8261461074042979</v>
      </c>
      <c r="L145" s="8">
        <f t="shared" si="25"/>
        <v>50</v>
      </c>
      <c r="M145" s="8">
        <f t="shared" si="26"/>
        <v>141.30730537021489</v>
      </c>
      <c r="N145" s="8">
        <f t="shared" si="18"/>
        <v>1.413073053702149</v>
      </c>
    </row>
    <row r="146" spans="1:14" s="5" customFormat="1" ht="13.2" x14ac:dyDescent="0.3">
      <c r="A146" s="6"/>
      <c r="E146" s="5">
        <v>144</v>
      </c>
      <c r="F146" s="5">
        <f t="shared" si="19"/>
        <v>144</v>
      </c>
      <c r="G146" s="8">
        <f t="shared" si="22"/>
        <v>17.532420697861266</v>
      </c>
      <c r="H146" s="8">
        <f t="shared" si="23"/>
        <v>585.96950320275948</v>
      </c>
      <c r="I146" s="8">
        <f t="shared" si="20"/>
        <v>0</v>
      </c>
      <c r="J146" s="8">
        <f t="shared" si="21"/>
        <v>1600</v>
      </c>
      <c r="K146" s="8">
        <f t="shared" si="24"/>
        <v>2.7305175290775527</v>
      </c>
      <c r="L146" s="8">
        <f t="shared" si="25"/>
        <v>50</v>
      </c>
      <c r="M146" s="8">
        <f t="shared" si="26"/>
        <v>136.52587645387763</v>
      </c>
      <c r="N146" s="8">
        <f t="shared" si="18"/>
        <v>1.3652587645387764</v>
      </c>
    </row>
    <row r="147" spans="1:14" s="5" customFormat="1" ht="13.2" x14ac:dyDescent="0.3">
      <c r="A147" s="6"/>
      <c r="E147" s="5">
        <v>145</v>
      </c>
      <c r="F147" s="5">
        <f t="shared" si="19"/>
        <v>145</v>
      </c>
      <c r="G147" s="8">
        <f t="shared" si="22"/>
        <v>15.628628972396385</v>
      </c>
      <c r="H147" s="8">
        <f t="shared" si="23"/>
        <v>603.5019239006208</v>
      </c>
      <c r="I147" s="8">
        <f t="shared" si="20"/>
        <v>0</v>
      </c>
      <c r="J147" s="8">
        <f t="shared" si="21"/>
        <v>1600</v>
      </c>
      <c r="K147" s="8">
        <f t="shared" si="24"/>
        <v>2.6511928738498494</v>
      </c>
      <c r="L147" s="8">
        <f t="shared" si="25"/>
        <v>50</v>
      </c>
      <c r="M147" s="8">
        <f t="shared" si="26"/>
        <v>132.55964369249247</v>
      </c>
      <c r="N147" s="8">
        <f t="shared" si="18"/>
        <v>1.3255964369249247</v>
      </c>
    </row>
    <row r="148" spans="1:14" s="5" customFormat="1" ht="13.2" x14ac:dyDescent="0.3">
      <c r="A148" s="6"/>
      <c r="E148" s="5">
        <v>146</v>
      </c>
      <c r="F148" s="5">
        <f t="shared" si="19"/>
        <v>146</v>
      </c>
      <c r="G148" s="8">
        <f t="shared" si="22"/>
        <v>14.022460080201828</v>
      </c>
      <c r="H148" s="8">
        <f t="shared" si="23"/>
        <v>619.13055287301722</v>
      </c>
      <c r="I148" s="8">
        <f t="shared" si="20"/>
        <v>0</v>
      </c>
      <c r="J148" s="8">
        <f t="shared" si="21"/>
        <v>1600</v>
      </c>
      <c r="K148" s="8">
        <f t="shared" si="24"/>
        <v>2.5842691700084095</v>
      </c>
      <c r="L148" s="8">
        <f t="shared" si="25"/>
        <v>50</v>
      </c>
      <c r="M148" s="8">
        <f t="shared" si="26"/>
        <v>129.21345850042047</v>
      </c>
      <c r="N148" s="8">
        <f t="shared" si="18"/>
        <v>1.2921345850042047</v>
      </c>
    </row>
    <row r="149" spans="1:14" s="5" customFormat="1" ht="13.2" x14ac:dyDescent="0.3">
      <c r="A149" s="6"/>
      <c r="E149" s="5">
        <v>147</v>
      </c>
      <c r="F149" s="5">
        <f t="shared" si="19"/>
        <v>147</v>
      </c>
      <c r="G149" s="8">
        <f t="shared" si="22"/>
        <v>12.648846668028426</v>
      </c>
      <c r="H149" s="8">
        <f t="shared" si="23"/>
        <v>633.1530129532191</v>
      </c>
      <c r="I149" s="8">
        <f t="shared" si="20"/>
        <v>0</v>
      </c>
      <c r="J149" s="8">
        <f t="shared" si="21"/>
        <v>1600</v>
      </c>
      <c r="K149" s="8">
        <f t="shared" si="24"/>
        <v>2.5270352778345178</v>
      </c>
      <c r="L149" s="8">
        <f t="shared" si="25"/>
        <v>50</v>
      </c>
      <c r="M149" s="8">
        <f t="shared" si="26"/>
        <v>126.35176389172588</v>
      </c>
      <c r="N149" s="8">
        <f t="shared" si="18"/>
        <v>1.2635176389172589</v>
      </c>
    </row>
    <row r="150" spans="1:14" s="5" customFormat="1" ht="13.2" x14ac:dyDescent="0.3">
      <c r="A150" s="6"/>
      <c r="E150" s="5">
        <v>148</v>
      </c>
      <c r="F150" s="5">
        <f t="shared" si="19"/>
        <v>148</v>
      </c>
      <c r="G150" s="8">
        <f t="shared" si="22"/>
        <v>11.460962256319586</v>
      </c>
      <c r="H150" s="8">
        <f t="shared" si="23"/>
        <v>645.80185962124756</v>
      </c>
      <c r="I150" s="8">
        <f t="shared" si="20"/>
        <v>0</v>
      </c>
      <c r="J150" s="8">
        <f t="shared" si="21"/>
        <v>1600</v>
      </c>
      <c r="K150" s="8">
        <f t="shared" si="24"/>
        <v>2.4775400940133161</v>
      </c>
      <c r="L150" s="8">
        <f t="shared" si="25"/>
        <v>50</v>
      </c>
      <c r="M150" s="8">
        <f t="shared" si="26"/>
        <v>123.87700470066581</v>
      </c>
      <c r="N150" s="8">
        <f t="shared" si="18"/>
        <v>1.238770047006658</v>
      </c>
    </row>
    <row r="151" spans="1:14" s="5" customFormat="1" ht="13.2" x14ac:dyDescent="0.3">
      <c r="A151" s="6"/>
      <c r="E151" s="5">
        <v>149</v>
      </c>
      <c r="F151" s="5">
        <f t="shared" si="19"/>
        <v>149</v>
      </c>
      <c r="G151" s="8">
        <f t="shared" si="22"/>
        <v>10.424116992202297</v>
      </c>
      <c r="H151" s="8">
        <f t="shared" si="23"/>
        <v>657.26282187756715</v>
      </c>
      <c r="I151" s="8">
        <f t="shared" si="20"/>
        <v>0</v>
      </c>
      <c r="J151" s="8">
        <f t="shared" si="21"/>
        <v>1600</v>
      </c>
      <c r="K151" s="8">
        <f t="shared" si="24"/>
        <v>2.434338208008429</v>
      </c>
      <c r="L151" s="8">
        <f t="shared" si="25"/>
        <v>50</v>
      </c>
      <c r="M151" s="8">
        <f t="shared" si="26"/>
        <v>121.71691040042145</v>
      </c>
      <c r="N151" s="8">
        <f t="shared" si="18"/>
        <v>1.2171691040042145</v>
      </c>
    </row>
    <row r="152" spans="1:14" s="5" customFormat="1" ht="13.2" x14ac:dyDescent="0.3">
      <c r="A152" s="6"/>
      <c r="E152" s="5">
        <v>150</v>
      </c>
      <c r="F152" s="5">
        <f t="shared" si="19"/>
        <v>150</v>
      </c>
      <c r="G152" s="8">
        <f t="shared" si="22"/>
        <v>9.5119831833191277</v>
      </c>
      <c r="H152" s="8">
        <f t="shared" si="23"/>
        <v>667.68693886976939</v>
      </c>
      <c r="I152" s="8">
        <f t="shared" si="20"/>
        <v>0</v>
      </c>
      <c r="J152" s="8">
        <f t="shared" si="21"/>
        <v>1600</v>
      </c>
      <c r="K152" s="8">
        <f t="shared" si="24"/>
        <v>2.3963326326382965</v>
      </c>
      <c r="L152" s="8">
        <f t="shared" si="25"/>
        <v>50.000000000000014</v>
      </c>
      <c r="M152" s="8">
        <f t="shared" si="26"/>
        <v>119.81663163191486</v>
      </c>
      <c r="N152" s="8">
        <f t="shared" si="18"/>
        <v>1.1981663163191485</v>
      </c>
    </row>
    <row r="153" spans="1:14" s="5" customFormat="1" ht="13.2" x14ac:dyDescent="0.3">
      <c r="A153" s="6"/>
      <c r="E153" s="5">
        <v>151</v>
      </c>
      <c r="F153" s="5">
        <f t="shared" si="19"/>
        <v>151</v>
      </c>
      <c r="G153" s="8">
        <f t="shared" si="22"/>
        <v>0</v>
      </c>
      <c r="H153" s="8">
        <f t="shared" si="23"/>
        <v>677.19892205308849</v>
      </c>
      <c r="I153" s="8">
        <f t="shared" si="20"/>
        <v>19.087956882123542</v>
      </c>
      <c r="J153" s="8">
        <f t="shared" si="21"/>
        <v>400</v>
      </c>
      <c r="K153" s="8">
        <f t="shared" si="24"/>
        <v>0.5906683944317358</v>
      </c>
      <c r="L153" s="8">
        <f t="shared" si="25"/>
        <v>50</v>
      </c>
      <c r="M153" s="8">
        <f t="shared" si="26"/>
        <v>29.533419721586789</v>
      </c>
      <c r="N153" s="8">
        <f t="shared" si="18"/>
        <v>0.2953341972158679</v>
      </c>
    </row>
    <row r="154" spans="1:14" s="5" customFormat="1" ht="13.2" x14ac:dyDescent="0.3">
      <c r="A154" s="6"/>
      <c r="E154" s="5">
        <v>152</v>
      </c>
      <c r="F154" s="5">
        <f t="shared" si="19"/>
        <v>152</v>
      </c>
      <c r="G154" s="8">
        <f t="shared" si="22"/>
        <v>0</v>
      </c>
      <c r="H154" s="8">
        <f t="shared" si="23"/>
        <v>658.11096517096496</v>
      </c>
      <c r="I154" s="8">
        <f t="shared" si="20"/>
        <v>18.324438606838598</v>
      </c>
      <c r="J154" s="8">
        <f t="shared" si="21"/>
        <v>400</v>
      </c>
      <c r="K154" s="8">
        <f t="shared" si="24"/>
        <v>0.60780023608342015</v>
      </c>
      <c r="L154" s="8">
        <f t="shared" si="25"/>
        <v>50</v>
      </c>
      <c r="M154" s="8">
        <f t="shared" si="26"/>
        <v>30.390011804171007</v>
      </c>
      <c r="N154" s="8">
        <f t="shared" si="18"/>
        <v>0.30390011804171008</v>
      </c>
    </row>
    <row r="155" spans="1:14" s="5" customFormat="1" ht="13.2" x14ac:dyDescent="0.3">
      <c r="A155" s="6"/>
      <c r="E155" s="5">
        <v>153</v>
      </c>
      <c r="F155" s="5">
        <f t="shared" si="19"/>
        <v>153</v>
      </c>
      <c r="G155" s="8">
        <f t="shared" si="22"/>
        <v>0</v>
      </c>
      <c r="H155" s="8">
        <f t="shared" si="23"/>
        <v>639.78652656412635</v>
      </c>
      <c r="I155" s="8">
        <f t="shared" si="20"/>
        <v>17.591461062565056</v>
      </c>
      <c r="J155" s="8">
        <f t="shared" si="21"/>
        <v>400</v>
      </c>
      <c r="K155" s="8">
        <f t="shared" si="24"/>
        <v>0.6252085397111089</v>
      </c>
      <c r="L155" s="8">
        <f t="shared" si="25"/>
        <v>50</v>
      </c>
      <c r="M155" s="8">
        <f t="shared" si="26"/>
        <v>31.260426985555444</v>
      </c>
      <c r="N155" s="8">
        <f t="shared" si="18"/>
        <v>0.31260426985555445</v>
      </c>
    </row>
    <row r="156" spans="1:14" s="5" customFormat="1" ht="13.2" x14ac:dyDescent="0.3">
      <c r="A156" s="6"/>
      <c r="E156" s="5">
        <v>154</v>
      </c>
      <c r="F156" s="5">
        <f t="shared" si="19"/>
        <v>154</v>
      </c>
      <c r="G156" s="8">
        <f t="shared" si="22"/>
        <v>0</v>
      </c>
      <c r="H156" s="8">
        <f t="shared" si="23"/>
        <v>622.19506550156132</v>
      </c>
      <c r="I156" s="8">
        <f t="shared" si="20"/>
        <v>16.887802620062452</v>
      </c>
      <c r="J156" s="8">
        <f t="shared" si="21"/>
        <v>400</v>
      </c>
      <c r="K156" s="8">
        <f t="shared" si="24"/>
        <v>0.6428852014079437</v>
      </c>
      <c r="L156" s="8">
        <f t="shared" si="25"/>
        <v>50.000000000000014</v>
      </c>
      <c r="M156" s="8">
        <f t="shared" si="26"/>
        <v>32.144260070397195</v>
      </c>
      <c r="N156" s="8">
        <f t="shared" si="18"/>
        <v>0.32144260070397196</v>
      </c>
    </row>
    <row r="157" spans="1:14" s="5" customFormat="1" ht="13.2" x14ac:dyDescent="0.3">
      <c r="A157" s="6"/>
      <c r="E157" s="5">
        <v>155</v>
      </c>
      <c r="F157" s="5">
        <f t="shared" si="19"/>
        <v>155</v>
      </c>
      <c r="G157" s="8">
        <f t="shared" si="22"/>
        <v>0</v>
      </c>
      <c r="H157" s="8">
        <f t="shared" si="23"/>
        <v>605.3072628814989</v>
      </c>
      <c r="I157" s="8">
        <f t="shared" si="20"/>
        <v>16.212290515259955</v>
      </c>
      <c r="J157" s="8">
        <f t="shared" si="21"/>
        <v>400</v>
      </c>
      <c r="K157" s="8">
        <f t="shared" si="24"/>
        <v>0.66082141175019748</v>
      </c>
      <c r="L157" s="8">
        <f t="shared" si="25"/>
        <v>50</v>
      </c>
      <c r="M157" s="8">
        <f t="shared" si="26"/>
        <v>33.041070587509871</v>
      </c>
      <c r="N157" s="8">
        <f t="shared" si="18"/>
        <v>0.33041070587509869</v>
      </c>
    </row>
    <row r="158" spans="1:14" s="5" customFormat="1" ht="13.2" x14ac:dyDescent="0.3">
      <c r="A158" s="6"/>
      <c r="E158" s="5">
        <v>156</v>
      </c>
      <c r="F158" s="5">
        <f t="shared" si="19"/>
        <v>156</v>
      </c>
      <c r="G158" s="8">
        <f t="shared" si="22"/>
        <v>0</v>
      </c>
      <c r="H158" s="8">
        <f t="shared" si="23"/>
        <v>589.09497236623895</v>
      </c>
      <c r="I158" s="8">
        <f t="shared" si="20"/>
        <v>15.563798894649556</v>
      </c>
      <c r="J158" s="8">
        <f t="shared" si="21"/>
        <v>400</v>
      </c>
      <c r="K158" s="8">
        <f t="shared" si="24"/>
        <v>0.67900766219970543</v>
      </c>
      <c r="L158" s="8">
        <f t="shared" si="25"/>
        <v>50</v>
      </c>
      <c r="M158" s="8">
        <f t="shared" si="26"/>
        <v>33.950383109985275</v>
      </c>
      <c r="N158" s="8">
        <f t="shared" si="18"/>
        <v>0.33950383109985277</v>
      </c>
    </row>
    <row r="159" spans="1:14" s="5" customFormat="1" ht="13.2" x14ac:dyDescent="0.3">
      <c r="A159" s="6"/>
      <c r="E159" s="5">
        <v>157</v>
      </c>
      <c r="F159" s="5">
        <f t="shared" si="19"/>
        <v>157</v>
      </c>
      <c r="G159" s="8">
        <f t="shared" si="22"/>
        <v>0</v>
      </c>
      <c r="H159" s="8">
        <f t="shared" si="23"/>
        <v>573.53117347158934</v>
      </c>
      <c r="I159" s="8">
        <f t="shared" si="20"/>
        <v>14.941246938863577</v>
      </c>
      <c r="J159" s="8">
        <f t="shared" si="21"/>
        <v>400</v>
      </c>
      <c r="K159" s="8">
        <f t="shared" si="24"/>
        <v>0.69743375513277928</v>
      </c>
      <c r="L159" s="8">
        <f t="shared" si="25"/>
        <v>50</v>
      </c>
      <c r="M159" s="8">
        <f t="shared" si="26"/>
        <v>34.871687756638963</v>
      </c>
      <c r="N159" s="8">
        <f t="shared" si="18"/>
        <v>0.34871687756638964</v>
      </c>
    </row>
    <row r="160" spans="1:14" s="5" customFormat="1" ht="13.2" x14ac:dyDescent="0.3">
      <c r="A160" s="6"/>
      <c r="E160" s="5">
        <v>158</v>
      </c>
      <c r="F160" s="5">
        <f t="shared" si="19"/>
        <v>158</v>
      </c>
      <c r="G160" s="8">
        <f t="shared" si="22"/>
        <v>0</v>
      </c>
      <c r="H160" s="8">
        <f t="shared" si="23"/>
        <v>558.58992653272571</v>
      </c>
      <c r="I160" s="8">
        <f t="shared" si="20"/>
        <v>14.34359706130903</v>
      </c>
      <c r="J160" s="8">
        <f t="shared" si="21"/>
        <v>400</v>
      </c>
      <c r="K160" s="8">
        <f t="shared" si="24"/>
        <v>0.71608881757477505</v>
      </c>
      <c r="L160" s="8">
        <f t="shared" si="25"/>
        <v>50</v>
      </c>
      <c r="M160" s="8">
        <f t="shared" si="26"/>
        <v>35.804440878738752</v>
      </c>
      <c r="N160" s="8">
        <f t="shared" si="18"/>
        <v>0.35804440878738752</v>
      </c>
    </row>
    <row r="161" spans="1:14" s="5" customFormat="1" ht="13.2" x14ac:dyDescent="0.3">
      <c r="A161" s="6"/>
      <c r="E161" s="5">
        <v>159</v>
      </c>
      <c r="F161" s="5">
        <f t="shared" si="19"/>
        <v>159</v>
      </c>
      <c r="G161" s="8">
        <f t="shared" si="22"/>
        <v>0</v>
      </c>
      <c r="H161" s="8">
        <f t="shared" si="23"/>
        <v>544.24632947141663</v>
      </c>
      <c r="I161" s="8">
        <f t="shared" si="20"/>
        <v>13.769853178856664</v>
      </c>
      <c r="J161" s="8">
        <f t="shared" si="21"/>
        <v>400</v>
      </c>
      <c r="K161" s="8">
        <f t="shared" si="24"/>
        <v>0.73496131868907288</v>
      </c>
      <c r="L161" s="8">
        <f t="shared" si="25"/>
        <v>50</v>
      </c>
      <c r="M161" s="8">
        <f t="shared" si="26"/>
        <v>36.748065934453642</v>
      </c>
      <c r="N161" s="8">
        <f t="shared" si="18"/>
        <v>0.36748065934453644</v>
      </c>
    </row>
    <row r="162" spans="1:14" s="5" customFormat="1" ht="13.2" x14ac:dyDescent="0.3">
      <c r="A162" s="6"/>
      <c r="E162" s="5">
        <v>160</v>
      </c>
      <c r="F162" s="5">
        <f t="shared" si="19"/>
        <v>160</v>
      </c>
      <c r="G162" s="8">
        <f t="shared" si="22"/>
        <v>0</v>
      </c>
      <c r="H162" s="8">
        <f t="shared" si="23"/>
        <v>530.47647629255994</v>
      </c>
      <c r="I162" s="8">
        <f t="shared" si="20"/>
        <v>13.219059051702397</v>
      </c>
      <c r="J162" s="8">
        <f t="shared" si="21"/>
        <v>400</v>
      </c>
      <c r="K162" s="8">
        <f t="shared" si="24"/>
        <v>0.75403909103671241</v>
      </c>
      <c r="L162" s="8">
        <f t="shared" si="25"/>
        <v>50</v>
      </c>
      <c r="M162" s="8">
        <f t="shared" si="26"/>
        <v>37.70195455183562</v>
      </c>
      <c r="N162" s="8">
        <f t="shared" si="18"/>
        <v>0.3770195455183562</v>
      </c>
    </row>
    <row r="163" spans="1:14" s="5" customFormat="1" ht="13.2" x14ac:dyDescent="0.3">
      <c r="A163" s="6"/>
      <c r="E163" s="5">
        <v>161</v>
      </c>
      <c r="F163" s="5">
        <f t="shared" si="19"/>
        <v>161</v>
      </c>
      <c r="G163" s="8">
        <f t="shared" si="22"/>
        <v>26.237698136514663</v>
      </c>
      <c r="H163" s="8">
        <f t="shared" si="23"/>
        <v>517.25741724085754</v>
      </c>
      <c r="I163" s="8">
        <f t="shared" si="20"/>
        <v>0</v>
      </c>
      <c r="J163" s="8">
        <f t="shared" si="21"/>
        <v>1600</v>
      </c>
      <c r="K163" s="8">
        <f t="shared" si="24"/>
        <v>3</v>
      </c>
      <c r="L163" s="8">
        <f t="shared" si="25"/>
        <v>51.553957039246299</v>
      </c>
      <c r="M163" s="8">
        <f t="shared" si="26"/>
        <v>154.66187111773888</v>
      </c>
      <c r="N163" s="8">
        <f t="shared" si="18"/>
        <v>1.5466187111773888</v>
      </c>
    </row>
    <row r="164" spans="1:14" s="5" customFormat="1" ht="13.2" x14ac:dyDescent="0.3">
      <c r="A164" s="6"/>
      <c r="E164" s="5">
        <v>162</v>
      </c>
      <c r="F164" s="5">
        <f t="shared" si="19"/>
        <v>162</v>
      </c>
      <c r="G164" s="8">
        <f t="shared" si="22"/>
        <v>22.653808863281544</v>
      </c>
      <c r="H164" s="8">
        <f t="shared" si="23"/>
        <v>543.49511537737214</v>
      </c>
      <c r="I164" s="8">
        <f t="shared" si="20"/>
        <v>0</v>
      </c>
      <c r="J164" s="8">
        <f t="shared" si="21"/>
        <v>1600</v>
      </c>
      <c r="K164" s="8">
        <f t="shared" si="24"/>
        <v>2.943908702636731</v>
      </c>
      <c r="L164" s="8">
        <f t="shared" si="25"/>
        <v>50</v>
      </c>
      <c r="M164" s="8">
        <f t="shared" si="26"/>
        <v>147.19543513183655</v>
      </c>
      <c r="N164" s="8">
        <f t="shared" si="18"/>
        <v>1.4719543513183655</v>
      </c>
    </row>
    <row r="165" spans="1:14" s="5" customFormat="1" ht="13.2" x14ac:dyDescent="0.3">
      <c r="A165" s="6"/>
      <c r="E165" s="5">
        <v>163</v>
      </c>
      <c r="F165" s="5">
        <f t="shared" si="19"/>
        <v>163</v>
      </c>
      <c r="G165" s="8">
        <f t="shared" si="22"/>
        <v>19.826676614291788</v>
      </c>
      <c r="H165" s="8">
        <f t="shared" si="23"/>
        <v>566.14892424065374</v>
      </c>
      <c r="I165" s="8">
        <f t="shared" si="20"/>
        <v>0</v>
      </c>
      <c r="J165" s="8">
        <f t="shared" si="21"/>
        <v>1600</v>
      </c>
      <c r="K165" s="8">
        <f t="shared" si="24"/>
        <v>2.8261115255954912</v>
      </c>
      <c r="L165" s="8">
        <f t="shared" si="25"/>
        <v>50</v>
      </c>
      <c r="M165" s="8">
        <f t="shared" si="26"/>
        <v>141.30557627977456</v>
      </c>
      <c r="N165" s="8">
        <f t="shared" si="18"/>
        <v>1.4130557627977456</v>
      </c>
    </row>
    <row r="166" spans="1:14" s="5" customFormat="1" ht="13.2" x14ac:dyDescent="0.3">
      <c r="A166" s="6"/>
      <c r="E166" s="5">
        <v>164</v>
      </c>
      <c r="F166" s="5">
        <f t="shared" si="19"/>
        <v>164</v>
      </c>
      <c r="G166" s="8">
        <f t="shared" si="22"/>
        <v>17.531738768600494</v>
      </c>
      <c r="H166" s="8">
        <f t="shared" si="23"/>
        <v>585.97560085494558</v>
      </c>
      <c r="I166" s="8">
        <f t="shared" si="20"/>
        <v>0</v>
      </c>
      <c r="J166" s="8">
        <f t="shared" si="21"/>
        <v>1600</v>
      </c>
      <c r="K166" s="8">
        <f t="shared" si="24"/>
        <v>2.7304891153583535</v>
      </c>
      <c r="L166" s="8">
        <f t="shared" si="25"/>
        <v>50</v>
      </c>
      <c r="M166" s="8">
        <f t="shared" si="26"/>
        <v>136.52445576791769</v>
      </c>
      <c r="N166" s="8">
        <f t="shared" si="18"/>
        <v>1.365244557679177</v>
      </c>
    </row>
    <row r="167" spans="1:14" s="5" customFormat="1" ht="13.2" x14ac:dyDescent="0.3">
      <c r="A167" s="6"/>
      <c r="E167" s="5">
        <v>165</v>
      </c>
      <c r="F167" s="5">
        <f t="shared" si="19"/>
        <v>165</v>
      </c>
      <c r="G167" s="8">
        <f t="shared" si="22"/>
        <v>15.628057985099293</v>
      </c>
      <c r="H167" s="8">
        <f t="shared" si="23"/>
        <v>603.50733962354605</v>
      </c>
      <c r="I167" s="8">
        <f t="shared" si="20"/>
        <v>0</v>
      </c>
      <c r="J167" s="8">
        <f t="shared" si="21"/>
        <v>1600</v>
      </c>
      <c r="K167" s="8">
        <f t="shared" si="24"/>
        <v>2.6511690827124705</v>
      </c>
      <c r="L167" s="8">
        <f t="shared" si="25"/>
        <v>50</v>
      </c>
      <c r="M167" s="8">
        <f t="shared" si="26"/>
        <v>132.55845413562352</v>
      </c>
      <c r="N167" s="8">
        <f t="shared" si="18"/>
        <v>1.3255845413562353</v>
      </c>
    </row>
    <row r="168" spans="1:14" s="5" customFormat="1" ht="13.2" x14ac:dyDescent="0.3">
      <c r="A168" s="6"/>
      <c r="E168" s="5">
        <v>166</v>
      </c>
      <c r="F168" s="5">
        <f t="shared" si="19"/>
        <v>166</v>
      </c>
      <c r="G168" s="8">
        <f t="shared" si="22"/>
        <v>14.021974754337318</v>
      </c>
      <c r="H168" s="8">
        <f t="shared" si="23"/>
        <v>619.13539760864535</v>
      </c>
      <c r="I168" s="8">
        <f t="shared" si="20"/>
        <v>0</v>
      </c>
      <c r="J168" s="8">
        <f t="shared" si="21"/>
        <v>1600</v>
      </c>
      <c r="K168" s="8">
        <f t="shared" si="24"/>
        <v>2.5842489480973883</v>
      </c>
      <c r="L168" s="8">
        <f t="shared" si="25"/>
        <v>50</v>
      </c>
      <c r="M168" s="8">
        <f t="shared" si="26"/>
        <v>129.21244740486941</v>
      </c>
      <c r="N168" s="8">
        <f t="shared" si="18"/>
        <v>1.2921244740486941</v>
      </c>
    </row>
    <row r="169" spans="1:14" s="5" customFormat="1" ht="13.2" x14ac:dyDescent="0.3">
      <c r="A169" s="6"/>
      <c r="E169" s="5">
        <v>167</v>
      </c>
      <c r="F169" s="5">
        <f t="shared" si="19"/>
        <v>167</v>
      </c>
      <c r="G169" s="8">
        <f t="shared" si="22"/>
        <v>12.648429089104358</v>
      </c>
      <c r="H169" s="8">
        <f t="shared" si="23"/>
        <v>633.15737236298264</v>
      </c>
      <c r="I169" s="8">
        <f t="shared" si="20"/>
        <v>0</v>
      </c>
      <c r="J169" s="8">
        <f t="shared" si="21"/>
        <v>1600</v>
      </c>
      <c r="K169" s="8">
        <f t="shared" si="24"/>
        <v>2.527017878712682</v>
      </c>
      <c r="L169" s="8">
        <f t="shared" si="25"/>
        <v>49.999999999999993</v>
      </c>
      <c r="M169" s="8">
        <f t="shared" si="26"/>
        <v>126.35089393563408</v>
      </c>
      <c r="N169" s="8">
        <f t="shared" si="18"/>
        <v>1.2635089393563408</v>
      </c>
    </row>
    <row r="170" spans="1:14" s="5" customFormat="1" ht="13.2" x14ac:dyDescent="0.3">
      <c r="A170" s="6"/>
      <c r="E170" s="5">
        <v>168</v>
      </c>
      <c r="F170" s="5">
        <f t="shared" si="19"/>
        <v>168</v>
      </c>
      <c r="G170" s="8">
        <f t="shared" si="22"/>
        <v>11.460599322053213</v>
      </c>
      <c r="H170" s="8">
        <f t="shared" si="23"/>
        <v>645.80580145208705</v>
      </c>
      <c r="I170" s="8">
        <f t="shared" si="20"/>
        <v>0</v>
      </c>
      <c r="J170" s="8">
        <f t="shared" si="21"/>
        <v>1600</v>
      </c>
      <c r="K170" s="8">
        <f t="shared" si="24"/>
        <v>2.4775249717522172</v>
      </c>
      <c r="L170" s="8">
        <f t="shared" si="25"/>
        <v>50</v>
      </c>
      <c r="M170" s="8">
        <f t="shared" si="26"/>
        <v>123.87624858761086</v>
      </c>
      <c r="N170" s="8">
        <f t="shared" si="18"/>
        <v>1.2387624858761086</v>
      </c>
    </row>
    <row r="171" spans="1:14" s="5" customFormat="1" ht="13.2" x14ac:dyDescent="0.3">
      <c r="A171" s="6"/>
      <c r="E171" s="5">
        <v>169</v>
      </c>
      <c r="F171" s="5">
        <f t="shared" si="19"/>
        <v>169</v>
      </c>
      <c r="G171" s="8">
        <f t="shared" si="22"/>
        <v>10.423798865683356</v>
      </c>
      <c r="H171" s="8">
        <f t="shared" si="23"/>
        <v>657.26640077414027</v>
      </c>
      <c r="I171" s="8">
        <f t="shared" si="20"/>
        <v>0</v>
      </c>
      <c r="J171" s="8">
        <f t="shared" si="21"/>
        <v>1600</v>
      </c>
      <c r="K171" s="8">
        <f t="shared" si="24"/>
        <v>2.4343249527368065</v>
      </c>
      <c r="L171" s="8">
        <f t="shared" si="25"/>
        <v>50</v>
      </c>
      <c r="M171" s="8">
        <f t="shared" si="26"/>
        <v>121.71624763684032</v>
      </c>
      <c r="N171" s="8">
        <f t="shared" si="18"/>
        <v>1.2171624763684032</v>
      </c>
    </row>
    <row r="172" spans="1:14" s="5" customFormat="1" ht="13.2" x14ac:dyDescent="0.3">
      <c r="A172" s="6"/>
      <c r="E172" s="5">
        <v>170</v>
      </c>
      <c r="F172" s="5">
        <f t="shared" si="19"/>
        <v>170</v>
      </c>
      <c r="G172" s="8">
        <f t="shared" si="22"/>
        <v>9.5117023145080708</v>
      </c>
      <c r="H172" s="8">
        <f t="shared" si="23"/>
        <v>667.69019963982362</v>
      </c>
      <c r="I172" s="8">
        <f t="shared" si="20"/>
        <v>0</v>
      </c>
      <c r="J172" s="8">
        <f t="shared" si="21"/>
        <v>1600</v>
      </c>
      <c r="K172" s="8">
        <f t="shared" si="24"/>
        <v>2.3963209297711696</v>
      </c>
      <c r="L172" s="8">
        <f t="shared" si="25"/>
        <v>50</v>
      </c>
      <c r="M172" s="8">
        <f t="shared" si="26"/>
        <v>119.81604648855848</v>
      </c>
      <c r="N172" s="8">
        <f t="shared" si="18"/>
        <v>1.1981604648855848</v>
      </c>
    </row>
    <row r="173" spans="1:14" s="5" customFormat="1" ht="13.2" x14ac:dyDescent="0.3">
      <c r="A173" s="6"/>
      <c r="E173" s="5">
        <v>171</v>
      </c>
      <c r="F173" s="5">
        <f t="shared" si="19"/>
        <v>171</v>
      </c>
      <c r="G173" s="8">
        <f t="shared" si="22"/>
        <v>0</v>
      </c>
      <c r="H173" s="8">
        <f t="shared" si="23"/>
        <v>677.20190195433167</v>
      </c>
      <c r="I173" s="8">
        <f t="shared" si="20"/>
        <v>19.088076078173266</v>
      </c>
      <c r="J173" s="8">
        <f t="shared" si="21"/>
        <v>400</v>
      </c>
      <c r="K173" s="8">
        <f t="shared" si="24"/>
        <v>0.59066579530512708</v>
      </c>
      <c r="L173" s="8">
        <f t="shared" si="25"/>
        <v>50</v>
      </c>
      <c r="M173" s="8">
        <f t="shared" si="26"/>
        <v>29.533289765256356</v>
      </c>
      <c r="N173" s="8">
        <f t="shared" si="18"/>
        <v>0.29533289765256354</v>
      </c>
    </row>
    <row r="174" spans="1:14" s="5" customFormat="1" ht="13.2" x14ac:dyDescent="0.3">
      <c r="A174" s="6"/>
      <c r="E174" s="5">
        <v>172</v>
      </c>
      <c r="F174" s="5">
        <f t="shared" si="19"/>
        <v>172</v>
      </c>
      <c r="G174" s="8">
        <f t="shared" si="22"/>
        <v>0</v>
      </c>
      <c r="H174" s="8">
        <f t="shared" si="23"/>
        <v>658.11382587615844</v>
      </c>
      <c r="I174" s="8">
        <f t="shared" si="20"/>
        <v>18.324553035046335</v>
      </c>
      <c r="J174" s="8">
        <f t="shared" si="21"/>
        <v>400</v>
      </c>
      <c r="K174" s="8">
        <f t="shared" si="24"/>
        <v>0.60779759408256318</v>
      </c>
      <c r="L174" s="8">
        <f t="shared" si="25"/>
        <v>50</v>
      </c>
      <c r="M174" s="8">
        <f t="shared" si="26"/>
        <v>30.389879704128159</v>
      </c>
      <c r="N174" s="8">
        <f t="shared" si="18"/>
        <v>0.30389879704128159</v>
      </c>
    </row>
    <row r="175" spans="1:14" s="5" customFormat="1" ht="13.2" x14ac:dyDescent="0.3">
      <c r="A175" s="6"/>
      <c r="E175" s="5">
        <v>173</v>
      </c>
      <c r="F175" s="5">
        <f t="shared" si="19"/>
        <v>173</v>
      </c>
      <c r="G175" s="8">
        <f t="shared" si="22"/>
        <v>0</v>
      </c>
      <c r="H175" s="8">
        <f t="shared" si="23"/>
        <v>639.78927284111205</v>
      </c>
      <c r="I175" s="8">
        <f t="shared" si="20"/>
        <v>17.591570913644482</v>
      </c>
      <c r="J175" s="8">
        <f t="shared" si="21"/>
        <v>400</v>
      </c>
      <c r="K175" s="8">
        <f t="shared" si="24"/>
        <v>0.62520585602149925</v>
      </c>
      <c r="L175" s="8">
        <f t="shared" si="25"/>
        <v>50</v>
      </c>
      <c r="M175" s="8">
        <f t="shared" si="26"/>
        <v>31.260292801074961</v>
      </c>
      <c r="N175" s="8">
        <f t="shared" si="18"/>
        <v>0.31260292801074963</v>
      </c>
    </row>
    <row r="176" spans="1:14" s="5" customFormat="1" ht="13.2" x14ac:dyDescent="0.3">
      <c r="A176" s="6"/>
      <c r="E176" s="5">
        <v>174</v>
      </c>
      <c r="F176" s="5">
        <f t="shared" si="19"/>
        <v>174</v>
      </c>
      <c r="G176" s="8">
        <f t="shared" si="22"/>
        <v>0</v>
      </c>
      <c r="H176" s="8">
        <f t="shared" si="23"/>
        <v>622.19770192746762</v>
      </c>
      <c r="I176" s="8">
        <f t="shared" si="20"/>
        <v>16.887908077098704</v>
      </c>
      <c r="J176" s="8">
        <f t="shared" si="21"/>
        <v>400</v>
      </c>
      <c r="K176" s="8">
        <f t="shared" si="24"/>
        <v>0.64288247732330872</v>
      </c>
      <c r="L176" s="8">
        <f t="shared" si="25"/>
        <v>50</v>
      </c>
      <c r="M176" s="8">
        <f t="shared" si="26"/>
        <v>32.144123866165437</v>
      </c>
      <c r="N176" s="8">
        <f t="shared" si="18"/>
        <v>0.32144123866165436</v>
      </c>
    </row>
    <row r="177" spans="1:14" s="5" customFormat="1" ht="13.2" x14ac:dyDescent="0.3">
      <c r="A177" s="6"/>
      <c r="E177" s="5">
        <v>175</v>
      </c>
      <c r="F177" s="5">
        <f t="shared" si="19"/>
        <v>175</v>
      </c>
      <c r="G177" s="8">
        <f t="shared" si="22"/>
        <v>0</v>
      </c>
      <c r="H177" s="8">
        <f t="shared" si="23"/>
        <v>605.30979385036892</v>
      </c>
      <c r="I177" s="8">
        <f t="shared" si="20"/>
        <v>16.212391754014757</v>
      </c>
      <c r="J177" s="8">
        <f t="shared" si="21"/>
        <v>400</v>
      </c>
      <c r="K177" s="8">
        <f t="shared" si="24"/>
        <v>0.66081864867178908</v>
      </c>
      <c r="L177" s="8">
        <f t="shared" si="25"/>
        <v>50</v>
      </c>
      <c r="M177" s="8">
        <f t="shared" si="26"/>
        <v>33.040932433589454</v>
      </c>
      <c r="N177" s="8">
        <f t="shared" si="18"/>
        <v>0.33040932433589454</v>
      </c>
    </row>
    <row r="178" spans="1:14" s="5" customFormat="1" ht="13.2" x14ac:dyDescent="0.3">
      <c r="A178" s="6"/>
      <c r="E178" s="5">
        <v>176</v>
      </c>
      <c r="F178" s="5">
        <f t="shared" si="19"/>
        <v>176</v>
      </c>
      <c r="G178" s="8">
        <f t="shared" si="22"/>
        <v>0</v>
      </c>
      <c r="H178" s="8">
        <f t="shared" si="23"/>
        <v>589.09740209635413</v>
      </c>
      <c r="I178" s="8">
        <f t="shared" si="20"/>
        <v>15.563896083854162</v>
      </c>
      <c r="J178" s="8">
        <f t="shared" si="21"/>
        <v>400</v>
      </c>
      <c r="K178" s="8">
        <f t="shared" si="24"/>
        <v>0.67900486163504603</v>
      </c>
      <c r="L178" s="8">
        <f t="shared" si="25"/>
        <v>50</v>
      </c>
      <c r="M178" s="8">
        <f t="shared" si="26"/>
        <v>33.950243081752305</v>
      </c>
      <c r="N178" s="8">
        <f t="shared" si="18"/>
        <v>0.33950243081752307</v>
      </c>
    </row>
    <row r="179" spans="1:14" s="5" customFormat="1" ht="13.2" x14ac:dyDescent="0.3">
      <c r="A179" s="6"/>
      <c r="E179" s="5">
        <v>177</v>
      </c>
      <c r="F179" s="5">
        <f t="shared" si="19"/>
        <v>177</v>
      </c>
      <c r="G179" s="8">
        <f t="shared" si="22"/>
        <v>0</v>
      </c>
      <c r="H179" s="8">
        <f t="shared" si="23"/>
        <v>573.53350601249997</v>
      </c>
      <c r="I179" s="8">
        <f t="shared" si="20"/>
        <v>14.941340240500001</v>
      </c>
      <c r="J179" s="8">
        <f t="shared" si="21"/>
        <v>400</v>
      </c>
      <c r="K179" s="8">
        <f t="shared" si="24"/>
        <v>0.69743091869384544</v>
      </c>
      <c r="L179" s="8">
        <f t="shared" si="25"/>
        <v>50</v>
      </c>
      <c r="M179" s="8">
        <f t="shared" si="26"/>
        <v>34.871545934692271</v>
      </c>
      <c r="N179" s="8">
        <f t="shared" si="18"/>
        <v>0.34871545934692272</v>
      </c>
    </row>
    <row r="180" spans="1:14" s="5" customFormat="1" ht="13.2" x14ac:dyDescent="0.3">
      <c r="A180" s="6"/>
      <c r="E180" s="5">
        <v>178</v>
      </c>
      <c r="F180" s="5">
        <f t="shared" si="19"/>
        <v>178</v>
      </c>
      <c r="G180" s="8">
        <f t="shared" si="22"/>
        <v>0</v>
      </c>
      <c r="H180" s="8">
        <f t="shared" si="23"/>
        <v>558.59216577199993</v>
      </c>
      <c r="I180" s="8">
        <f t="shared" si="20"/>
        <v>14.343686630879997</v>
      </c>
      <c r="J180" s="8">
        <f t="shared" si="21"/>
        <v>400</v>
      </c>
      <c r="K180" s="8">
        <f t="shared" si="24"/>
        <v>0.7160859469756109</v>
      </c>
      <c r="L180" s="8">
        <f t="shared" si="25"/>
        <v>50</v>
      </c>
      <c r="M180" s="8">
        <f t="shared" si="26"/>
        <v>35.804297348780544</v>
      </c>
      <c r="N180" s="8">
        <f t="shared" si="18"/>
        <v>0.35804297348780545</v>
      </c>
    </row>
    <row r="181" spans="1:14" s="5" customFormat="1" ht="13.2" x14ac:dyDescent="0.3">
      <c r="A181" s="6"/>
      <c r="E181" s="5">
        <v>179</v>
      </c>
      <c r="F181" s="5">
        <f t="shared" si="19"/>
        <v>179</v>
      </c>
      <c r="G181" s="8">
        <f t="shared" si="22"/>
        <v>0</v>
      </c>
      <c r="H181" s="8">
        <f t="shared" si="23"/>
        <v>544.2484791411199</v>
      </c>
      <c r="I181" s="8">
        <f t="shared" si="20"/>
        <v>13.769939165644795</v>
      </c>
      <c r="J181" s="8">
        <f t="shared" si="21"/>
        <v>400</v>
      </c>
      <c r="K181" s="8">
        <f t="shared" si="24"/>
        <v>0.73495841574282605</v>
      </c>
      <c r="L181" s="8">
        <f t="shared" si="25"/>
        <v>50</v>
      </c>
      <c r="M181" s="8">
        <f t="shared" si="26"/>
        <v>36.747920787141304</v>
      </c>
      <c r="N181" s="8">
        <f t="shared" si="18"/>
        <v>0.36747920787141303</v>
      </c>
    </row>
    <row r="182" spans="1:14" s="5" customFormat="1" ht="13.2" x14ac:dyDescent="0.3">
      <c r="A182" s="6"/>
      <c r="E182" s="5">
        <v>180</v>
      </c>
      <c r="F182" s="5">
        <f t="shared" si="19"/>
        <v>180</v>
      </c>
      <c r="G182" s="8">
        <f t="shared" si="22"/>
        <v>0</v>
      </c>
      <c r="H182" s="8">
        <f t="shared" si="23"/>
        <v>530.47853997547509</v>
      </c>
      <c r="I182" s="8">
        <f t="shared" si="20"/>
        <v>13.219141599019002</v>
      </c>
      <c r="J182" s="8">
        <f t="shared" si="21"/>
        <v>400</v>
      </c>
      <c r="K182" s="8">
        <f t="shared" si="24"/>
        <v>0.75403615765209409</v>
      </c>
      <c r="L182" s="8">
        <f t="shared" si="25"/>
        <v>50</v>
      </c>
      <c r="M182" s="8">
        <f t="shared" si="26"/>
        <v>37.701807882604705</v>
      </c>
      <c r="N182" s="8">
        <f t="shared" si="18"/>
        <v>0.37701807882604704</v>
      </c>
    </row>
    <row r="183" spans="1:14" s="5" customFormat="1" ht="13.2" x14ac:dyDescent="0.3">
      <c r="A183" s="6"/>
      <c r="E183" s="5">
        <v>181</v>
      </c>
      <c r="F183" s="5">
        <f t="shared" si="19"/>
        <v>181</v>
      </c>
      <c r="G183" s="8">
        <f t="shared" si="22"/>
        <v>26.237413801523388</v>
      </c>
      <c r="H183" s="8">
        <f t="shared" si="23"/>
        <v>517.25939837645603</v>
      </c>
      <c r="I183" s="8">
        <f t="shared" si="20"/>
        <v>0</v>
      </c>
      <c r="J183" s="8">
        <f t="shared" si="21"/>
        <v>1600</v>
      </c>
      <c r="K183" s="8">
        <f t="shared" si="24"/>
        <v>3</v>
      </c>
      <c r="L183" s="8">
        <f t="shared" si="25"/>
        <v>51.553759584391237</v>
      </c>
      <c r="M183" s="8">
        <f t="shared" si="26"/>
        <v>154.66127875317372</v>
      </c>
      <c r="N183" s="8">
        <f t="shared" si="18"/>
        <v>1.5466127875317373</v>
      </c>
    </row>
    <row r="184" spans="1:14" s="5" customFormat="1" ht="13.2" x14ac:dyDescent="0.3">
      <c r="A184" s="6"/>
      <c r="E184" s="5">
        <v>182</v>
      </c>
      <c r="F184" s="5">
        <f t="shared" si="19"/>
        <v>182</v>
      </c>
      <c r="G184" s="8">
        <f t="shared" si="22"/>
        <v>22.653588281627513</v>
      </c>
      <c r="H184" s="8">
        <f t="shared" si="23"/>
        <v>543.49681217797945</v>
      </c>
      <c r="I184" s="8">
        <f t="shared" si="20"/>
        <v>0</v>
      </c>
      <c r="J184" s="8">
        <f t="shared" si="21"/>
        <v>1600</v>
      </c>
      <c r="K184" s="8">
        <f t="shared" si="24"/>
        <v>2.9438995117344797</v>
      </c>
      <c r="L184" s="8">
        <f t="shared" si="25"/>
        <v>50</v>
      </c>
      <c r="M184" s="8">
        <f t="shared" si="26"/>
        <v>147.19497558672398</v>
      </c>
      <c r="N184" s="8">
        <f t="shared" si="18"/>
        <v>1.4719497558672399</v>
      </c>
    </row>
    <row r="185" spans="1:14" s="5" customFormat="1" ht="13.2" x14ac:dyDescent="0.3">
      <c r="A185" s="6"/>
      <c r="E185" s="5">
        <v>183</v>
      </c>
      <c r="F185" s="5">
        <f t="shared" si="19"/>
        <v>183</v>
      </c>
      <c r="G185" s="8">
        <f t="shared" si="22"/>
        <v>19.826499758414858</v>
      </c>
      <c r="H185" s="8">
        <f t="shared" si="23"/>
        <v>566.150400459607</v>
      </c>
      <c r="I185" s="8">
        <f t="shared" si="20"/>
        <v>0</v>
      </c>
      <c r="J185" s="8">
        <f t="shared" si="21"/>
        <v>1600</v>
      </c>
      <c r="K185" s="8">
        <f t="shared" si="24"/>
        <v>2.8261041566006182</v>
      </c>
      <c r="L185" s="8">
        <f t="shared" si="25"/>
        <v>50.000000000000014</v>
      </c>
      <c r="M185" s="8">
        <f t="shared" si="26"/>
        <v>141.30520783003095</v>
      </c>
      <c r="N185" s="8">
        <f t="shared" si="18"/>
        <v>1.4130520783003095</v>
      </c>
    </row>
    <row r="186" spans="1:14" s="5" customFormat="1" ht="13.2" x14ac:dyDescent="0.3">
      <c r="A186" s="6"/>
      <c r="E186" s="5">
        <v>184</v>
      </c>
      <c r="F186" s="5">
        <f t="shared" si="19"/>
        <v>184</v>
      </c>
      <c r="G186" s="8">
        <f t="shared" si="22"/>
        <v>17.531593456521378</v>
      </c>
      <c r="H186" s="8">
        <f t="shared" si="23"/>
        <v>585.97690021802191</v>
      </c>
      <c r="I186" s="8">
        <f t="shared" si="20"/>
        <v>0</v>
      </c>
      <c r="J186" s="8">
        <f t="shared" si="21"/>
        <v>1600</v>
      </c>
      <c r="K186" s="8">
        <f t="shared" si="24"/>
        <v>2.7304830606883903</v>
      </c>
      <c r="L186" s="8">
        <f t="shared" si="25"/>
        <v>50</v>
      </c>
      <c r="M186" s="8">
        <f t="shared" si="26"/>
        <v>136.52415303441953</v>
      </c>
      <c r="N186" s="8">
        <f t="shared" si="18"/>
        <v>1.3652415303441954</v>
      </c>
    </row>
    <row r="187" spans="1:14" s="5" customFormat="1" ht="13.2" x14ac:dyDescent="0.3">
      <c r="A187" s="6"/>
      <c r="E187" s="5">
        <v>185</v>
      </c>
      <c r="F187" s="5">
        <f t="shared" si="19"/>
        <v>185</v>
      </c>
      <c r="G187" s="8">
        <f t="shared" si="22"/>
        <v>15.627936313201488</v>
      </c>
      <c r="H187" s="8">
        <f t="shared" si="23"/>
        <v>603.50849367454327</v>
      </c>
      <c r="I187" s="8">
        <f t="shared" si="20"/>
        <v>0</v>
      </c>
      <c r="J187" s="8">
        <f t="shared" si="21"/>
        <v>1600</v>
      </c>
      <c r="K187" s="8">
        <f t="shared" si="24"/>
        <v>2.651164013050062</v>
      </c>
      <c r="L187" s="8">
        <f t="shared" si="25"/>
        <v>50</v>
      </c>
      <c r="M187" s="8">
        <f t="shared" si="26"/>
        <v>132.5582006525031</v>
      </c>
      <c r="N187" s="8">
        <f t="shared" si="18"/>
        <v>1.325582006525031</v>
      </c>
    </row>
    <row r="188" spans="1:14" s="5" customFormat="1" ht="13.2" x14ac:dyDescent="0.3">
      <c r="A188" s="6"/>
      <c r="E188" s="5">
        <v>186</v>
      </c>
      <c r="F188" s="5">
        <f t="shared" si="19"/>
        <v>186</v>
      </c>
      <c r="G188" s="8">
        <f t="shared" si="22"/>
        <v>14.021871335789577</v>
      </c>
      <c r="H188" s="8">
        <f t="shared" si="23"/>
        <v>619.1364299877448</v>
      </c>
      <c r="I188" s="8">
        <f t="shared" si="20"/>
        <v>0</v>
      </c>
      <c r="J188" s="8">
        <f t="shared" si="21"/>
        <v>1600</v>
      </c>
      <c r="K188" s="8">
        <f t="shared" si="24"/>
        <v>2.5842446389912324</v>
      </c>
      <c r="L188" s="8">
        <f t="shared" si="25"/>
        <v>50</v>
      </c>
      <c r="M188" s="8">
        <f t="shared" si="26"/>
        <v>129.21223194956161</v>
      </c>
      <c r="N188" s="8">
        <f t="shared" si="18"/>
        <v>1.2921223194956162</v>
      </c>
    </row>
    <row r="189" spans="1:14" s="5" customFormat="1" ht="13.2" x14ac:dyDescent="0.3">
      <c r="A189" s="6"/>
      <c r="E189" s="5">
        <v>187</v>
      </c>
      <c r="F189" s="5">
        <f t="shared" si="19"/>
        <v>187</v>
      </c>
      <c r="G189" s="8">
        <f t="shared" si="22"/>
        <v>12.64834010662079</v>
      </c>
      <c r="H189" s="8">
        <f t="shared" si="23"/>
        <v>633.15830132353437</v>
      </c>
      <c r="I189" s="8">
        <f t="shared" si="20"/>
        <v>0</v>
      </c>
      <c r="J189" s="8">
        <f t="shared" si="21"/>
        <v>1600</v>
      </c>
      <c r="K189" s="8">
        <f t="shared" si="24"/>
        <v>2.5270141711091996</v>
      </c>
      <c r="L189" s="8">
        <f t="shared" si="25"/>
        <v>50</v>
      </c>
      <c r="M189" s="8">
        <f t="shared" si="26"/>
        <v>126.35070855545997</v>
      </c>
      <c r="N189" s="8">
        <f t="shared" si="18"/>
        <v>1.2635070855545998</v>
      </c>
    </row>
    <row r="190" spans="1:14" s="5" customFormat="1" ht="13.2" x14ac:dyDescent="0.3">
      <c r="A190" s="6"/>
      <c r="E190" s="5">
        <v>188</v>
      </c>
      <c r="F190" s="5">
        <f t="shared" si="19"/>
        <v>188</v>
      </c>
      <c r="G190" s="8">
        <f t="shared" si="22"/>
        <v>11.460521983735298</v>
      </c>
      <c r="H190" s="8">
        <f t="shared" si="23"/>
        <v>645.8066414301552</v>
      </c>
      <c r="I190" s="8">
        <f t="shared" si="20"/>
        <v>0</v>
      </c>
      <c r="J190" s="8">
        <f t="shared" si="21"/>
        <v>1600</v>
      </c>
      <c r="K190" s="8">
        <f t="shared" si="24"/>
        <v>2.4775217493223041</v>
      </c>
      <c r="L190" s="8">
        <f t="shared" si="25"/>
        <v>50</v>
      </c>
      <c r="M190" s="8">
        <f t="shared" si="26"/>
        <v>123.87608746611521</v>
      </c>
      <c r="N190" s="8">
        <f t="shared" si="18"/>
        <v>1.238760874661152</v>
      </c>
    </row>
    <row r="191" spans="1:14" s="5" customFormat="1" ht="13.2" x14ac:dyDescent="0.3">
      <c r="A191" s="6"/>
      <c r="E191" s="5">
        <v>189</v>
      </c>
      <c r="F191" s="5">
        <f t="shared" si="19"/>
        <v>189</v>
      </c>
      <c r="G191" s="8">
        <f t="shared" si="22"/>
        <v>10.423731075424158</v>
      </c>
      <c r="H191" s="8">
        <f t="shared" si="23"/>
        <v>657.26716341389044</v>
      </c>
      <c r="I191" s="8">
        <f t="shared" si="20"/>
        <v>0</v>
      </c>
      <c r="J191" s="8">
        <f t="shared" si="21"/>
        <v>1600</v>
      </c>
      <c r="K191" s="8">
        <f t="shared" si="24"/>
        <v>2.4343221281426732</v>
      </c>
      <c r="L191" s="8">
        <f t="shared" si="25"/>
        <v>50</v>
      </c>
      <c r="M191" s="8">
        <f t="shared" si="26"/>
        <v>121.71610640713367</v>
      </c>
      <c r="N191" s="8">
        <f t="shared" si="18"/>
        <v>1.2171610640713366</v>
      </c>
    </row>
    <row r="192" spans="1:14" s="5" customFormat="1" ht="13.2" x14ac:dyDescent="0.3">
      <c r="A192" s="6"/>
      <c r="E192" s="5">
        <v>190</v>
      </c>
      <c r="F192" s="5">
        <f t="shared" si="19"/>
        <v>190</v>
      </c>
      <c r="G192" s="8">
        <f t="shared" si="22"/>
        <v>9.5116424634940593</v>
      </c>
      <c r="H192" s="8">
        <f t="shared" si="23"/>
        <v>667.69089448931459</v>
      </c>
      <c r="I192" s="8">
        <f t="shared" si="20"/>
        <v>0</v>
      </c>
      <c r="J192" s="8">
        <f t="shared" si="21"/>
        <v>1600</v>
      </c>
      <c r="K192" s="8">
        <f t="shared" si="24"/>
        <v>2.3963184359789196</v>
      </c>
      <c r="L192" s="8">
        <f t="shared" si="25"/>
        <v>49.999999999999993</v>
      </c>
      <c r="M192" s="8">
        <f t="shared" si="26"/>
        <v>119.81592179894596</v>
      </c>
      <c r="N192" s="8">
        <f t="shared" si="18"/>
        <v>1.1981592179894596</v>
      </c>
    </row>
    <row r="193" spans="1:14" s="5" customFormat="1" ht="13.2" x14ac:dyDescent="0.3">
      <c r="A193" s="6"/>
      <c r="E193" s="5">
        <v>191</v>
      </c>
      <c r="F193" s="5">
        <f t="shared" si="19"/>
        <v>191</v>
      </c>
      <c r="G193" s="8">
        <f t="shared" si="22"/>
        <v>0</v>
      </c>
      <c r="H193" s="8">
        <f t="shared" si="23"/>
        <v>677.2025369528086</v>
      </c>
      <c r="I193" s="8">
        <f t="shared" si="20"/>
        <v>19.088101478112343</v>
      </c>
      <c r="J193" s="8">
        <f t="shared" si="21"/>
        <v>400</v>
      </c>
      <c r="K193" s="8">
        <f t="shared" si="24"/>
        <v>0.59066524145032007</v>
      </c>
      <c r="L193" s="8">
        <f t="shared" si="25"/>
        <v>50</v>
      </c>
      <c r="M193" s="8">
        <f t="shared" si="26"/>
        <v>29.533262072516003</v>
      </c>
      <c r="N193" s="8">
        <f t="shared" si="18"/>
        <v>0.29533262072516003</v>
      </c>
    </row>
    <row r="194" spans="1:14" s="5" customFormat="1" ht="13.2" x14ac:dyDescent="0.3">
      <c r="A194" s="6"/>
      <c r="E194" s="5">
        <v>192</v>
      </c>
      <c r="F194" s="5">
        <f t="shared" si="19"/>
        <v>192</v>
      </c>
      <c r="G194" s="8">
        <f t="shared" si="22"/>
        <v>0</v>
      </c>
      <c r="H194" s="8">
        <f t="shared" si="23"/>
        <v>658.11443547469628</v>
      </c>
      <c r="I194" s="8">
        <f t="shared" si="20"/>
        <v>18.32457741898785</v>
      </c>
      <c r="J194" s="8">
        <f t="shared" si="21"/>
        <v>400</v>
      </c>
      <c r="K194" s="8">
        <f t="shared" si="24"/>
        <v>0.60779703109153205</v>
      </c>
      <c r="L194" s="8">
        <f t="shared" si="25"/>
        <v>49.999999999999993</v>
      </c>
      <c r="M194" s="8">
        <f t="shared" si="26"/>
        <v>30.389851554576598</v>
      </c>
      <c r="N194" s="8">
        <f t="shared" ref="N194:N202" si="27">M194/$B$10</f>
        <v>0.30389851554576597</v>
      </c>
    </row>
    <row r="195" spans="1:14" s="5" customFormat="1" ht="13.2" x14ac:dyDescent="0.3">
      <c r="A195" s="6"/>
      <c r="E195" s="5">
        <v>193</v>
      </c>
      <c r="F195" s="5">
        <f t="shared" ref="F195:F202" si="28">E195*$B$2</f>
        <v>193</v>
      </c>
      <c r="G195" s="8">
        <f t="shared" si="22"/>
        <v>0</v>
      </c>
      <c r="H195" s="8">
        <f t="shared" si="23"/>
        <v>639.78985805570846</v>
      </c>
      <c r="I195" s="8">
        <f t="shared" ref="I195:I202" si="29">H195*$B$5*$B$2*MAX(0,1-N195)</f>
        <v>17.591594322228342</v>
      </c>
      <c r="J195" s="8">
        <f t="shared" ref="J195:J202" si="30">IF(F195&lt;=10,$B$6,IF(F195&lt;=20,$B$6-$B$6*$B$12,IF(F195&lt;=30,$B$6+$B$6*$B$12,IF(F195&lt;=40,$B$6-$B$6*$B$12,IF(F195&lt;=50,$B$6+$B$6*$B$12,IF(F195&lt;=60,$B$6-$B$6*$B$12,IF(F195&lt;=70,$B$6+$B$6*$B$12,IF(F195&lt;=80,$B$6-$B$6*$B$12,IF(F195&lt;=90,$B$6+$B$6*$B$12,IF(F195&lt;=100,$B$6-$B$6*$B$12,IF(F195&lt;=110,$B$6+$B$6*$B$12,IF(F195&lt;=120,$B$6-$B$6*$B$12,IF(F195&lt;=130,$B$6+$B$6*$B$12,IF(F195&lt;=140,$B$6-$B$6*$B$12,IF(F195&lt;=150,$B$6+$B$6*$B$12,IF(F195&lt;=160,$B$6-$B$6*$B$12,IF(F195&lt;=170,$B$6+$B$6*$B$12,IF(F195&lt;=180,$B$6-$B$6*$B$12,IF(F195&lt;=190,$B$6+$B$6*$B$12,IF(F195&lt;=200,$B$6-$B$6*$B$12,$B$6))))))))))))))))))))</f>
        <v>400</v>
      </c>
      <c r="K195" s="8">
        <f t="shared" si="24"/>
        <v>0.62520528414686249</v>
      </c>
      <c r="L195" s="8">
        <f t="shared" si="25"/>
        <v>49.999999999999993</v>
      </c>
      <c r="M195" s="8">
        <f t="shared" si="26"/>
        <v>31.26026420734312</v>
      </c>
      <c r="N195" s="8">
        <f t="shared" si="27"/>
        <v>0.31260264207343119</v>
      </c>
    </row>
    <row r="196" spans="1:14" s="5" customFormat="1" ht="13.2" x14ac:dyDescent="0.3">
      <c r="A196" s="6"/>
      <c r="E196" s="5">
        <v>194</v>
      </c>
      <c r="F196" s="5">
        <f t="shared" si="28"/>
        <v>194</v>
      </c>
      <c r="G196" s="8">
        <f t="shared" ref="G196:G202" si="31">MAX(0,IF(N196&gt;=1,J196*$B$4*$B$2*(N196-1),0))</f>
        <v>0</v>
      </c>
      <c r="H196" s="8">
        <f t="shared" ref="H196:H202" si="32">H195+(G195-I195)</f>
        <v>622.19826373348008</v>
      </c>
      <c r="I196" s="8">
        <f t="shared" si="29"/>
        <v>16.887930549339199</v>
      </c>
      <c r="J196" s="8">
        <f t="shared" si="30"/>
        <v>400</v>
      </c>
      <c r="K196" s="8">
        <f t="shared" ref="K196:K202" si="33">MIN($B$11,J196/H196)</f>
        <v>0.64288189684074859</v>
      </c>
      <c r="L196" s="8">
        <f t="shared" ref="L196:L202" si="34">$B$8*(J196/(H196*K196))</f>
        <v>50</v>
      </c>
      <c r="M196" s="8">
        <f t="shared" ref="M196:M202" si="35">K196*L196</f>
        <v>32.144094842037433</v>
      </c>
      <c r="N196" s="8">
        <f t="shared" si="27"/>
        <v>0.32144094842037435</v>
      </c>
    </row>
    <row r="197" spans="1:14" s="5" customFormat="1" ht="13.2" x14ac:dyDescent="0.3">
      <c r="A197" s="6"/>
      <c r="E197" s="5">
        <v>195</v>
      </c>
      <c r="F197" s="5">
        <f t="shared" si="28"/>
        <v>195</v>
      </c>
      <c r="G197" s="8">
        <f t="shared" si="31"/>
        <v>0</v>
      </c>
      <c r="H197" s="8">
        <f t="shared" si="32"/>
        <v>605.31033318414086</v>
      </c>
      <c r="I197" s="8">
        <f t="shared" si="29"/>
        <v>16.212413327365635</v>
      </c>
      <c r="J197" s="8">
        <f t="shared" si="30"/>
        <v>400</v>
      </c>
      <c r="K197" s="8">
        <f t="shared" si="33"/>
        <v>0.66081805987990028</v>
      </c>
      <c r="L197" s="8">
        <f t="shared" si="34"/>
        <v>50</v>
      </c>
      <c r="M197" s="8">
        <f t="shared" si="35"/>
        <v>33.040902993995012</v>
      </c>
      <c r="N197" s="8">
        <f t="shared" si="27"/>
        <v>0.33040902993995014</v>
      </c>
    </row>
    <row r="198" spans="1:14" s="5" customFormat="1" ht="13.2" x14ac:dyDescent="0.3">
      <c r="A198" s="6"/>
      <c r="E198" s="5">
        <v>196</v>
      </c>
      <c r="F198" s="5">
        <f t="shared" si="28"/>
        <v>196</v>
      </c>
      <c r="G198" s="8">
        <f t="shared" si="31"/>
        <v>0</v>
      </c>
      <c r="H198" s="8">
        <f t="shared" si="32"/>
        <v>589.09791985677521</v>
      </c>
      <c r="I198" s="8">
        <f t="shared" si="29"/>
        <v>15.563916794271009</v>
      </c>
      <c r="J198" s="8">
        <f t="shared" si="30"/>
        <v>400</v>
      </c>
      <c r="K198" s="8">
        <f t="shared" si="33"/>
        <v>0.67900426485506904</v>
      </c>
      <c r="L198" s="8">
        <f t="shared" si="34"/>
        <v>50</v>
      </c>
      <c r="M198" s="8">
        <f t="shared" si="35"/>
        <v>33.950213242753449</v>
      </c>
      <c r="N198" s="8">
        <f t="shared" si="27"/>
        <v>0.33950213242753446</v>
      </c>
    </row>
    <row r="199" spans="1:14" s="5" customFormat="1" ht="13.2" x14ac:dyDescent="0.3">
      <c r="A199" s="6"/>
      <c r="E199" s="5">
        <v>197</v>
      </c>
      <c r="F199" s="5">
        <f t="shared" si="28"/>
        <v>197</v>
      </c>
      <c r="G199" s="8">
        <f t="shared" si="31"/>
        <v>0</v>
      </c>
      <c r="H199" s="8">
        <f t="shared" si="32"/>
        <v>573.53400306250421</v>
      </c>
      <c r="I199" s="8">
        <f t="shared" si="29"/>
        <v>14.941360122500166</v>
      </c>
      <c r="J199" s="8">
        <f t="shared" si="30"/>
        <v>400</v>
      </c>
      <c r="K199" s="8">
        <f t="shared" si="33"/>
        <v>0.69743031426927915</v>
      </c>
      <c r="L199" s="8">
        <f t="shared" si="34"/>
        <v>50</v>
      </c>
      <c r="M199" s="8">
        <f t="shared" si="35"/>
        <v>34.871515713463957</v>
      </c>
      <c r="N199" s="8">
        <f t="shared" si="27"/>
        <v>0.34871515713463958</v>
      </c>
    </row>
    <row r="200" spans="1:14" s="5" customFormat="1" ht="13.2" x14ac:dyDescent="0.3">
      <c r="A200" s="6"/>
      <c r="E200" s="5">
        <v>198</v>
      </c>
      <c r="F200" s="5">
        <f t="shared" si="28"/>
        <v>198</v>
      </c>
      <c r="G200" s="8">
        <f t="shared" si="31"/>
        <v>0</v>
      </c>
      <c r="H200" s="8">
        <f t="shared" si="32"/>
        <v>558.592642940004</v>
      </c>
      <c r="I200" s="8">
        <f t="shared" si="29"/>
        <v>14.343705717600159</v>
      </c>
      <c r="J200" s="8">
        <f t="shared" si="30"/>
        <v>400</v>
      </c>
      <c r="K200" s="8">
        <f t="shared" si="33"/>
        <v>0.71608533527170404</v>
      </c>
      <c r="L200" s="8">
        <f t="shared" si="34"/>
        <v>50</v>
      </c>
      <c r="M200" s="8">
        <f t="shared" si="35"/>
        <v>35.804266763585204</v>
      </c>
      <c r="N200" s="8">
        <f t="shared" si="27"/>
        <v>0.35804266763585202</v>
      </c>
    </row>
    <row r="201" spans="1:14" s="5" customFormat="1" ht="13.2" x14ac:dyDescent="0.3">
      <c r="A201" s="6"/>
      <c r="E201" s="5">
        <v>199</v>
      </c>
      <c r="F201" s="5">
        <f t="shared" si="28"/>
        <v>199</v>
      </c>
      <c r="G201" s="8">
        <f t="shared" si="31"/>
        <v>0</v>
      </c>
      <c r="H201" s="8">
        <f t="shared" si="32"/>
        <v>544.24893722240381</v>
      </c>
      <c r="I201" s="8">
        <f t="shared" si="29"/>
        <v>13.769957488896152</v>
      </c>
      <c r="J201" s="8">
        <f t="shared" si="30"/>
        <v>400</v>
      </c>
      <c r="K201" s="8">
        <f t="shared" si="33"/>
        <v>0.73495779714594567</v>
      </c>
      <c r="L201" s="8">
        <f t="shared" si="34"/>
        <v>50</v>
      </c>
      <c r="M201" s="8">
        <f t="shared" si="35"/>
        <v>36.747889857297281</v>
      </c>
      <c r="N201" s="8">
        <f t="shared" si="27"/>
        <v>0.36747889857297283</v>
      </c>
    </row>
    <row r="202" spans="1:14" s="5" customFormat="1" ht="13.2" x14ac:dyDescent="0.3">
      <c r="A202" s="6"/>
      <c r="E202" s="5">
        <v>200</v>
      </c>
      <c r="F202" s="5">
        <f t="shared" si="28"/>
        <v>200</v>
      </c>
      <c r="G202" s="8">
        <f t="shared" si="31"/>
        <v>0</v>
      </c>
      <c r="H202" s="8">
        <f t="shared" si="32"/>
        <v>530.47897973350769</v>
      </c>
      <c r="I202" s="8">
        <f t="shared" si="29"/>
        <v>13.219159189340308</v>
      </c>
      <c r="J202" s="8">
        <f t="shared" si="30"/>
        <v>400</v>
      </c>
      <c r="K202" s="8">
        <f t="shared" si="33"/>
        <v>0.75403553256897127</v>
      </c>
      <c r="L202" s="8">
        <f t="shared" si="34"/>
        <v>50</v>
      </c>
      <c r="M202" s="8">
        <f t="shared" si="35"/>
        <v>37.701776628448563</v>
      </c>
      <c r="N202" s="8">
        <f t="shared" si="27"/>
        <v>0.37701776628448563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2"/>
  <sheetViews>
    <sheetView zoomScale="80" zoomScaleNormal="80" workbookViewId="0"/>
  </sheetViews>
  <sheetFormatPr defaultRowHeight="13.2" x14ac:dyDescent="0.3"/>
  <cols>
    <col min="1" max="1" width="3.88671875" style="1" customWidth="1"/>
    <col min="2" max="5" width="5.88671875" style="1" customWidth="1"/>
    <col min="6" max="9" width="6.44140625" style="1" customWidth="1"/>
    <col min="10" max="13" width="5.88671875" style="1" customWidth="1"/>
    <col min="14" max="17" width="6.44140625" style="1" customWidth="1"/>
    <col min="18" max="21" width="6.109375" style="1" customWidth="1"/>
    <col min="22" max="33" width="5.77734375" style="1" customWidth="1"/>
    <col min="34" max="16384" width="8.88671875" style="1"/>
  </cols>
  <sheetData>
    <row r="1" spans="1:33" ht="33.6" customHeight="1" x14ac:dyDescent="0.3">
      <c r="B1" s="3" t="s">
        <v>40</v>
      </c>
      <c r="C1" s="3"/>
      <c r="D1" s="3"/>
      <c r="E1" s="3"/>
      <c r="F1" s="3" t="s">
        <v>41</v>
      </c>
      <c r="G1" s="3"/>
      <c r="H1" s="3"/>
      <c r="I1" s="3"/>
      <c r="J1" s="3" t="s">
        <v>42</v>
      </c>
      <c r="K1" s="3"/>
      <c r="L1" s="3"/>
      <c r="M1" s="3"/>
      <c r="N1" s="3" t="s">
        <v>43</v>
      </c>
      <c r="O1" s="3"/>
      <c r="P1" s="3"/>
      <c r="Q1" s="3"/>
      <c r="R1" s="3" t="s">
        <v>44</v>
      </c>
      <c r="S1" s="3"/>
      <c r="T1" s="3"/>
      <c r="U1" s="3"/>
      <c r="V1" s="3" t="s">
        <v>45</v>
      </c>
      <c r="W1" s="3"/>
      <c r="X1" s="3"/>
      <c r="Y1" s="3"/>
      <c r="Z1" s="3" t="s">
        <v>46</v>
      </c>
      <c r="AA1" s="3"/>
      <c r="AB1" s="3"/>
      <c r="AC1" s="3"/>
      <c r="AD1" s="3" t="s">
        <v>47</v>
      </c>
      <c r="AE1" s="3"/>
      <c r="AF1" s="3"/>
      <c r="AG1" s="3"/>
    </row>
    <row r="2" spans="1:33" x14ac:dyDescent="0.3">
      <c r="A2" s="1">
        <v>0</v>
      </c>
      <c r="B2" s="2">
        <f>Model_1!G2</f>
        <v>0</v>
      </c>
      <c r="C2" s="2">
        <f>Model_2!G2</f>
        <v>0</v>
      </c>
      <c r="D2" s="2">
        <f>Model_3!G2</f>
        <v>0</v>
      </c>
      <c r="E2" s="2">
        <f>Model_4!G2</f>
        <v>0</v>
      </c>
      <c r="F2" s="2">
        <f>Model_1!H2</f>
        <v>300</v>
      </c>
      <c r="G2" s="2">
        <f>Model_2!H2</f>
        <v>300</v>
      </c>
      <c r="H2" s="2">
        <f>Model_3!H2</f>
        <v>300</v>
      </c>
      <c r="I2" s="2">
        <f>Model_4!H2</f>
        <v>300</v>
      </c>
      <c r="J2" s="2">
        <f>Model_1!I2</f>
        <v>0</v>
      </c>
      <c r="K2" s="2">
        <f>Model_2!I2</f>
        <v>0</v>
      </c>
      <c r="L2" s="2">
        <f>Model_3!I2</f>
        <v>0</v>
      </c>
      <c r="M2" s="2">
        <f>Model_4!I2</f>
        <v>0</v>
      </c>
      <c r="N2" s="2">
        <f>Model_1!J2</f>
        <v>1000</v>
      </c>
      <c r="O2" s="2">
        <f>Model_2!J2</f>
        <v>1000</v>
      </c>
      <c r="P2" s="2">
        <f>Model_3!J2</f>
        <v>1000</v>
      </c>
      <c r="Q2" s="2">
        <f>Model_4!J2</f>
        <v>1000</v>
      </c>
      <c r="R2" s="2">
        <f>Model_1!K2</f>
        <v>0</v>
      </c>
      <c r="S2" s="2">
        <f>Model_2!K2</f>
        <v>0</v>
      </c>
      <c r="T2" s="2">
        <f>Model_3!K2</f>
        <v>0</v>
      </c>
      <c r="U2" s="2">
        <f>Model_4!K2</f>
        <v>0</v>
      </c>
      <c r="V2" s="2">
        <f>Model_1!L2</f>
        <v>0</v>
      </c>
      <c r="W2" s="2">
        <f>Model_2!L2</f>
        <v>0</v>
      </c>
      <c r="X2" s="2">
        <f>Model_3!L2</f>
        <v>0</v>
      </c>
      <c r="Y2" s="2">
        <f>Model_4!L2</f>
        <v>0</v>
      </c>
      <c r="Z2" s="2">
        <f>Model_1!M2</f>
        <v>0</v>
      </c>
      <c r="AA2" s="2">
        <f>Model_2!M2</f>
        <v>0</v>
      </c>
      <c r="AB2" s="2">
        <f>Model_3!M2</f>
        <v>0</v>
      </c>
      <c r="AC2" s="2">
        <f>Model_4!M2</f>
        <v>0</v>
      </c>
      <c r="AD2" s="2">
        <f>Model_1!N2</f>
        <v>0</v>
      </c>
      <c r="AE2" s="2">
        <f>Model_2!N2</f>
        <v>0</v>
      </c>
      <c r="AF2" s="2">
        <f>Model_3!N2</f>
        <v>0</v>
      </c>
      <c r="AG2" s="2">
        <f>Model_4!N2</f>
        <v>0</v>
      </c>
    </row>
    <row r="3" spans="1:33" x14ac:dyDescent="0.3">
      <c r="A3" s="1">
        <v>1</v>
      </c>
      <c r="B3" s="2">
        <f>Model_1!G3</f>
        <v>20.000000000000007</v>
      </c>
      <c r="C3" s="2">
        <f>Model_2!G3</f>
        <v>20.000000000000007</v>
      </c>
      <c r="D3" s="2">
        <f>Model_3!G3</f>
        <v>0</v>
      </c>
      <c r="E3" s="2">
        <f>Model_4!G3</f>
        <v>20.000000000000007</v>
      </c>
      <c r="F3" s="2">
        <f>Model_1!H3</f>
        <v>300</v>
      </c>
      <c r="G3" s="2">
        <f>Model_2!H3</f>
        <v>300</v>
      </c>
      <c r="H3" s="2">
        <f>Model_3!H3</f>
        <v>300</v>
      </c>
      <c r="I3" s="2">
        <f>Model_4!H3</f>
        <v>300</v>
      </c>
      <c r="J3" s="2">
        <f>Model_1!I3</f>
        <v>0</v>
      </c>
      <c r="K3" s="2">
        <f>Model_2!I3</f>
        <v>0</v>
      </c>
      <c r="L3" s="2">
        <f>Model_3!I3</f>
        <v>0</v>
      </c>
      <c r="M3" s="2">
        <f>Model_4!I3</f>
        <v>0</v>
      </c>
      <c r="N3" s="2">
        <f>Model_1!J3</f>
        <v>1000</v>
      </c>
      <c r="O3" s="2">
        <f>Model_2!J3</f>
        <v>1000</v>
      </c>
      <c r="P3" s="2">
        <f>Model_3!J3</f>
        <v>1000</v>
      </c>
      <c r="Q3" s="2">
        <f>Model_4!J3</f>
        <v>1000</v>
      </c>
      <c r="R3" s="2">
        <f>Model_1!K3</f>
        <v>3</v>
      </c>
      <c r="S3" s="2">
        <f>Model_2!K3</f>
        <v>3</v>
      </c>
      <c r="T3" s="2">
        <f>Model_3!K3</f>
        <v>3</v>
      </c>
      <c r="U3" s="2">
        <f>Model_4!K3</f>
        <v>3</v>
      </c>
      <c r="V3" s="2">
        <f>Model_1!L3</f>
        <v>55.555555555555557</v>
      </c>
      <c r="W3" s="2">
        <f>Model_2!L3</f>
        <v>55.555555555555557</v>
      </c>
      <c r="X3" s="2">
        <f>Model_3!L3</f>
        <v>55.555555555555557</v>
      </c>
      <c r="Y3" s="2">
        <f>Model_4!L3</f>
        <v>55.555555555555557</v>
      </c>
      <c r="Z3" s="2">
        <f>Model_1!M3</f>
        <v>166.66666666666669</v>
      </c>
      <c r="AA3" s="2">
        <f>Model_2!M3</f>
        <v>166.66666666666669</v>
      </c>
      <c r="AB3" s="2">
        <f>Model_3!M3</f>
        <v>166.66666666666669</v>
      </c>
      <c r="AC3" s="2">
        <f>Model_4!M3</f>
        <v>166.66666666666669</v>
      </c>
      <c r="AD3" s="2">
        <f>Model_1!N3</f>
        <v>1.666666666666667</v>
      </c>
      <c r="AE3" s="2">
        <f>Model_2!N3</f>
        <v>1.666666666666667</v>
      </c>
      <c r="AF3" s="2">
        <f>Model_3!N3</f>
        <v>1.666666666666667</v>
      </c>
      <c r="AG3" s="2">
        <f>Model_4!N3</f>
        <v>1.666666666666667</v>
      </c>
    </row>
    <row r="4" spans="1:33" x14ac:dyDescent="0.3">
      <c r="A4" s="1">
        <v>2</v>
      </c>
      <c r="B4" s="2">
        <f>Model_1!G4</f>
        <v>16.875</v>
      </c>
      <c r="C4" s="2">
        <f>Model_2!G4</f>
        <v>16.875</v>
      </c>
      <c r="D4" s="2">
        <f>Model_3!G4</f>
        <v>0</v>
      </c>
      <c r="E4" s="2">
        <f>Model_4!G4</f>
        <v>16.875</v>
      </c>
      <c r="F4" s="2">
        <f>Model_1!H4</f>
        <v>320</v>
      </c>
      <c r="G4" s="2">
        <f>Model_2!H4</f>
        <v>320</v>
      </c>
      <c r="H4" s="2">
        <f>Model_3!H4</f>
        <v>300</v>
      </c>
      <c r="I4" s="2">
        <f>Model_4!H4</f>
        <v>320</v>
      </c>
      <c r="J4" s="2">
        <f>Model_1!I4</f>
        <v>0</v>
      </c>
      <c r="K4" s="2">
        <f>Model_2!I4</f>
        <v>0</v>
      </c>
      <c r="L4" s="2">
        <f>Model_3!I4</f>
        <v>0</v>
      </c>
      <c r="M4" s="2">
        <f>Model_4!I4</f>
        <v>0</v>
      </c>
      <c r="N4" s="2">
        <f>Model_1!J4</f>
        <v>1000</v>
      </c>
      <c r="O4" s="2">
        <f>Model_2!J4</f>
        <v>1000</v>
      </c>
      <c r="P4" s="2">
        <f>Model_3!J4</f>
        <v>1000</v>
      </c>
      <c r="Q4" s="2">
        <f>Model_4!J4</f>
        <v>1000</v>
      </c>
      <c r="R4" s="2">
        <f>Model_1!K4</f>
        <v>3</v>
      </c>
      <c r="S4" s="2">
        <f>Model_2!K4</f>
        <v>3</v>
      </c>
      <c r="T4" s="2">
        <f>Model_3!K4</f>
        <v>3</v>
      </c>
      <c r="U4" s="2">
        <f>Model_4!K4</f>
        <v>3</v>
      </c>
      <c r="V4" s="2">
        <f>Model_1!L4</f>
        <v>52.083333333333336</v>
      </c>
      <c r="W4" s="2">
        <f>Model_2!L4</f>
        <v>52.083333333333336</v>
      </c>
      <c r="X4" s="2">
        <f>Model_3!L4</f>
        <v>55.555555555555557</v>
      </c>
      <c r="Y4" s="2">
        <f>Model_4!L4</f>
        <v>52.083333333333336</v>
      </c>
      <c r="Z4" s="2">
        <f>Model_1!M4</f>
        <v>156.25</v>
      </c>
      <c r="AA4" s="2">
        <f>Model_2!M4</f>
        <v>156.25</v>
      </c>
      <c r="AB4" s="2">
        <f>Model_3!M4</f>
        <v>166.66666666666669</v>
      </c>
      <c r="AC4" s="2">
        <f>Model_4!M4</f>
        <v>156.25</v>
      </c>
      <c r="AD4" s="2">
        <f>Model_1!N4</f>
        <v>1.5625</v>
      </c>
      <c r="AE4" s="2">
        <f>Model_2!N4</f>
        <v>1.5625</v>
      </c>
      <c r="AF4" s="2">
        <f>Model_3!N4</f>
        <v>1.666666666666667</v>
      </c>
      <c r="AG4" s="2">
        <f>Model_4!N4</f>
        <v>1.5625</v>
      </c>
    </row>
    <row r="5" spans="1:33" x14ac:dyDescent="0.3">
      <c r="A5" s="1">
        <v>3</v>
      </c>
      <c r="B5" s="2">
        <f>Model_1!G5</f>
        <v>14.526901669758823</v>
      </c>
      <c r="C5" s="2">
        <f>Model_2!G5</f>
        <v>65.988868274582558</v>
      </c>
      <c r="D5" s="2">
        <f>Model_3!G5</f>
        <v>0</v>
      </c>
      <c r="E5" s="2">
        <f>Model_4!G5</f>
        <v>14.526901669758823</v>
      </c>
      <c r="F5" s="2">
        <f>Model_1!H5</f>
        <v>336.875</v>
      </c>
      <c r="G5" s="2">
        <f>Model_2!H5</f>
        <v>336.875</v>
      </c>
      <c r="H5" s="2">
        <f>Model_3!H5</f>
        <v>300</v>
      </c>
      <c r="I5" s="2">
        <f>Model_4!H5</f>
        <v>336.875</v>
      </c>
      <c r="J5" s="2">
        <f>Model_1!I5</f>
        <v>0</v>
      </c>
      <c r="K5" s="2">
        <f>Model_2!I5</f>
        <v>0</v>
      </c>
      <c r="L5" s="2">
        <f>Model_3!I5</f>
        <v>0</v>
      </c>
      <c r="M5" s="2">
        <f>Model_4!I5</f>
        <v>0</v>
      </c>
      <c r="N5" s="2">
        <f>Model_1!J5</f>
        <v>1000</v>
      </c>
      <c r="O5" s="2">
        <f>Model_2!J5</f>
        <v>1600</v>
      </c>
      <c r="P5" s="2">
        <f>Model_3!J5</f>
        <v>1600</v>
      </c>
      <c r="Q5" s="2">
        <f>Model_4!J5</f>
        <v>1000</v>
      </c>
      <c r="R5" s="2">
        <f>Model_1!K5</f>
        <v>2.968460111317254</v>
      </c>
      <c r="S5" s="2">
        <f>Model_2!K5</f>
        <v>3</v>
      </c>
      <c r="T5" s="2">
        <f>Model_3!K5</f>
        <v>3</v>
      </c>
      <c r="U5" s="2">
        <f>Model_4!K5</f>
        <v>2.968460111317254</v>
      </c>
      <c r="V5" s="2">
        <f>Model_1!L5</f>
        <v>50.000000000000014</v>
      </c>
      <c r="W5" s="2">
        <f>Model_2!L5</f>
        <v>79.158936301793446</v>
      </c>
      <c r="X5" s="2">
        <f>Model_3!L5</f>
        <v>88.888888888888886</v>
      </c>
      <c r="Y5" s="2">
        <f>Model_4!L5</f>
        <v>50.000000000000014</v>
      </c>
      <c r="Z5" s="2">
        <f>Model_1!M5</f>
        <v>148.42300556586275</v>
      </c>
      <c r="AA5" s="2">
        <f>Model_2!M5</f>
        <v>237.47680890538032</v>
      </c>
      <c r="AB5" s="2">
        <f>Model_3!M5</f>
        <v>266.66666666666663</v>
      </c>
      <c r="AC5" s="2">
        <f>Model_4!M5</f>
        <v>148.42300556586275</v>
      </c>
      <c r="AD5" s="2">
        <f>Model_1!N5</f>
        <v>1.4842300556586274</v>
      </c>
      <c r="AE5" s="2">
        <f>Model_2!N5</f>
        <v>2.3747680890538034</v>
      </c>
      <c r="AF5" s="2">
        <f>Model_3!N5</f>
        <v>2.6666666666666661</v>
      </c>
      <c r="AG5" s="2">
        <f>Model_4!N5</f>
        <v>1.4842300556586274</v>
      </c>
    </row>
    <row r="6" spans="1:33" x14ac:dyDescent="0.3">
      <c r="A6" s="1">
        <v>4</v>
      </c>
      <c r="B6" s="2">
        <f>Model_1!G6</f>
        <v>12.686166263541542</v>
      </c>
      <c r="C6" s="2">
        <f>Model_2!G6</f>
        <v>7.2334209673436201</v>
      </c>
      <c r="D6" s="2">
        <f>Model_3!G6</f>
        <v>0</v>
      </c>
      <c r="E6" s="2">
        <f>Model_4!G6</f>
        <v>12.686166263541542</v>
      </c>
      <c r="F6" s="2">
        <f>Model_1!H6</f>
        <v>351.40190166975884</v>
      </c>
      <c r="G6" s="2">
        <f>Model_2!H6</f>
        <v>402.86386827458256</v>
      </c>
      <c r="H6" s="2">
        <f>Model_3!H6</f>
        <v>300</v>
      </c>
      <c r="I6" s="2">
        <f>Model_4!H6</f>
        <v>351.40190166975884</v>
      </c>
      <c r="J6" s="2">
        <f>Model_1!I6</f>
        <v>0</v>
      </c>
      <c r="K6" s="2">
        <f>Model_2!I6</f>
        <v>0</v>
      </c>
      <c r="L6" s="2">
        <f>Model_3!I6</f>
        <v>0</v>
      </c>
      <c r="M6" s="2">
        <f>Model_4!I6</f>
        <v>0</v>
      </c>
      <c r="N6" s="2">
        <f>Model_1!J6</f>
        <v>1000</v>
      </c>
      <c r="O6" s="2">
        <f>Model_2!J6</f>
        <v>1000</v>
      </c>
      <c r="P6" s="2">
        <f>Model_3!J6</f>
        <v>1000</v>
      </c>
      <c r="Q6" s="2">
        <f>Model_4!J6</f>
        <v>1000</v>
      </c>
      <c r="R6" s="2">
        <f>Model_1!K6</f>
        <v>2.8457444175694357</v>
      </c>
      <c r="S6" s="2">
        <f>Model_2!K6</f>
        <v>2.4822280644895747</v>
      </c>
      <c r="T6" s="2">
        <f>Model_3!K6</f>
        <v>3</v>
      </c>
      <c r="U6" s="2">
        <f>Model_4!K6</f>
        <v>2.8457444175694357</v>
      </c>
      <c r="V6" s="2">
        <f>Model_1!L6</f>
        <v>50</v>
      </c>
      <c r="W6" s="2">
        <f>Model_2!L6</f>
        <v>50</v>
      </c>
      <c r="X6" s="2">
        <f>Model_3!L6</f>
        <v>55.555555555555557</v>
      </c>
      <c r="Y6" s="2">
        <f>Model_4!L6</f>
        <v>50</v>
      </c>
      <c r="Z6" s="2">
        <f>Model_1!M6</f>
        <v>142.2872208784718</v>
      </c>
      <c r="AA6" s="2">
        <f>Model_2!M6</f>
        <v>124.11140322447874</v>
      </c>
      <c r="AB6" s="2">
        <f>Model_3!M6</f>
        <v>166.66666666666669</v>
      </c>
      <c r="AC6" s="2">
        <f>Model_4!M6</f>
        <v>142.2872208784718</v>
      </c>
      <c r="AD6" s="2">
        <f>Model_1!N6</f>
        <v>1.4228722087847181</v>
      </c>
      <c r="AE6" s="2">
        <f>Model_2!N6</f>
        <v>1.2411140322447873</v>
      </c>
      <c r="AF6" s="2">
        <f>Model_3!N6</f>
        <v>1.666666666666667</v>
      </c>
      <c r="AG6" s="2">
        <f>Model_4!N6</f>
        <v>1.4228722087847181</v>
      </c>
    </row>
    <row r="7" spans="1:33" x14ac:dyDescent="0.3">
      <c r="A7" s="1">
        <v>5</v>
      </c>
      <c r="B7" s="2">
        <f>Model_1!G7</f>
        <v>11.198823364757846</v>
      </c>
      <c r="C7" s="2">
        <f>Model_2!G7</f>
        <v>6.5766865412054472</v>
      </c>
      <c r="D7" s="2">
        <f ca="1">Model_3!G7</f>
        <v>0</v>
      </c>
      <c r="E7" s="2">
        <f>Model_4!G7</f>
        <v>11.198823364757846</v>
      </c>
      <c r="F7" s="2">
        <f>Model_1!H7</f>
        <v>364.08806793330041</v>
      </c>
      <c r="G7" s="2">
        <f>Model_2!H7</f>
        <v>410.09728924192621</v>
      </c>
      <c r="H7" s="2">
        <f>Model_3!H7</f>
        <v>300</v>
      </c>
      <c r="I7" s="2">
        <f>Model_4!H7</f>
        <v>364.08806793330041</v>
      </c>
      <c r="J7" s="2">
        <f>Model_1!I7</f>
        <v>0</v>
      </c>
      <c r="K7" s="2">
        <f>Model_2!I7</f>
        <v>0</v>
      </c>
      <c r="L7" s="2">
        <f>Model_3!I7</f>
        <v>0</v>
      </c>
      <c r="M7" s="2">
        <f>Model_4!I7</f>
        <v>0</v>
      </c>
      <c r="N7" s="2">
        <f>Model_1!J7</f>
        <v>1000</v>
      </c>
      <c r="O7" s="2">
        <f>Model_2!J7</f>
        <v>1000</v>
      </c>
      <c r="P7" s="2">
        <f>Model_3!J7</f>
        <v>1000</v>
      </c>
      <c r="Q7" s="2">
        <f>Model_4!J7</f>
        <v>1000</v>
      </c>
      <c r="R7" s="2">
        <f>Model_1!K7</f>
        <v>2.7465882243171902</v>
      </c>
      <c r="S7" s="2">
        <f>Model_2!K7</f>
        <v>2.4384457694136965</v>
      </c>
      <c r="T7" s="2">
        <f>Model_3!K7</f>
        <v>3</v>
      </c>
      <c r="U7" s="2">
        <f>Model_4!K7</f>
        <v>2.7465882243171902</v>
      </c>
      <c r="V7" s="2">
        <f>Model_1!L7</f>
        <v>49.999999999999993</v>
      </c>
      <c r="W7" s="2">
        <f>Model_2!L7</f>
        <v>50</v>
      </c>
      <c r="X7" s="2">
        <f>Model_3!L7</f>
        <v>55.555555555555557</v>
      </c>
      <c r="Y7" s="2">
        <f>Model_4!L7</f>
        <v>49.999999999999993</v>
      </c>
      <c r="Z7" s="2">
        <f>Model_1!M7</f>
        <v>137.32941121585949</v>
      </c>
      <c r="AA7" s="2">
        <f>Model_2!M7</f>
        <v>121.92228847068482</v>
      </c>
      <c r="AB7" s="2">
        <f>Model_3!M7</f>
        <v>166.66666666666669</v>
      </c>
      <c r="AC7" s="2">
        <f>Model_4!M7</f>
        <v>137.32941121585949</v>
      </c>
      <c r="AD7" s="2">
        <f>Model_1!N7</f>
        <v>1.3732941121585949</v>
      </c>
      <c r="AE7" s="2">
        <f>Model_2!N7</f>
        <v>1.2192228847068483</v>
      </c>
      <c r="AF7" s="2">
        <f>Model_3!N7</f>
        <v>1.666666666666667</v>
      </c>
      <c r="AG7" s="2">
        <f>Model_4!N7</f>
        <v>1.3732941121585949</v>
      </c>
    </row>
    <row r="8" spans="1:33" x14ac:dyDescent="0.3">
      <c r="A8" s="1">
        <v>6</v>
      </c>
      <c r="B8" s="2">
        <f>Model_1!G8</f>
        <v>9.9694216553031207</v>
      </c>
      <c r="C8" s="2">
        <f>Model_2!G8</f>
        <v>44.15838336874257</v>
      </c>
      <c r="D8" s="2">
        <f ca="1">Model_3!G8</f>
        <v>32.000000000000014</v>
      </c>
      <c r="E8" s="2">
        <f>Model_4!G8</f>
        <v>9.9694216553031207</v>
      </c>
      <c r="F8" s="2">
        <f>Model_1!H8</f>
        <v>375.28689129805826</v>
      </c>
      <c r="G8" s="2">
        <f>Model_2!H8</f>
        <v>416.67397578313165</v>
      </c>
      <c r="H8" s="2">
        <f ca="1">Model_3!H8</f>
        <v>300</v>
      </c>
      <c r="I8" s="2">
        <f>Model_4!H8</f>
        <v>375.28689129805826</v>
      </c>
      <c r="J8" s="2">
        <f>Model_1!I8</f>
        <v>0</v>
      </c>
      <c r="K8" s="2">
        <f>Model_2!I8</f>
        <v>0</v>
      </c>
      <c r="L8" s="2">
        <f ca="1">Model_3!I8</f>
        <v>0</v>
      </c>
      <c r="M8" s="2">
        <f>Model_4!I8</f>
        <v>0</v>
      </c>
      <c r="N8" s="2">
        <f>Model_1!J8</f>
        <v>1000</v>
      </c>
      <c r="O8" s="2">
        <f>Model_2!J8</f>
        <v>1600</v>
      </c>
      <c r="P8" s="2">
        <f>Model_3!J8</f>
        <v>1600</v>
      </c>
      <c r="Q8" s="2">
        <f>Model_4!J8</f>
        <v>1000</v>
      </c>
      <c r="R8" s="2">
        <f>Model_1!K8</f>
        <v>2.6646281103535419</v>
      </c>
      <c r="S8" s="2">
        <f>Model_2!K8</f>
        <v>3</v>
      </c>
      <c r="T8" s="2">
        <f ca="1">Model_3!K8</f>
        <v>3</v>
      </c>
      <c r="U8" s="2">
        <f>Model_4!K8</f>
        <v>2.6646281103535419</v>
      </c>
      <c r="V8" s="2">
        <f>Model_1!L8</f>
        <v>49.999999999999993</v>
      </c>
      <c r="W8" s="2">
        <f>Model_2!L8</f>
        <v>63.998877339404558</v>
      </c>
      <c r="X8" s="2">
        <f ca="1">Model_3!L8</f>
        <v>88.888888888888886</v>
      </c>
      <c r="Y8" s="2">
        <f>Model_4!L8</f>
        <v>49.999999999999993</v>
      </c>
      <c r="Z8" s="2">
        <f>Model_1!M8</f>
        <v>133.23140551767708</v>
      </c>
      <c r="AA8" s="2">
        <f>Model_2!M8</f>
        <v>191.99663201821369</v>
      </c>
      <c r="AB8" s="2">
        <f ca="1">Model_3!M8</f>
        <v>266.66666666666663</v>
      </c>
      <c r="AC8" s="2">
        <f>Model_4!M8</f>
        <v>133.23140551767708</v>
      </c>
      <c r="AD8" s="2">
        <f>Model_1!N8</f>
        <v>1.3323140551767707</v>
      </c>
      <c r="AE8" s="2">
        <f>Model_2!N8</f>
        <v>1.9199663201821369</v>
      </c>
      <c r="AF8" s="2">
        <f ca="1">Model_3!N8</f>
        <v>2.6666666666666661</v>
      </c>
      <c r="AG8" s="2">
        <f>Model_4!N8</f>
        <v>1.3323140551767707</v>
      </c>
    </row>
    <row r="9" spans="1:33" x14ac:dyDescent="0.3">
      <c r="A9" s="1">
        <v>7</v>
      </c>
      <c r="B9" s="2">
        <f>Model_1!G9</f>
        <v>8.9351179868034549</v>
      </c>
      <c r="C9" s="2">
        <f>Model_2!G9</f>
        <v>0</v>
      </c>
      <c r="D9" s="2">
        <f ca="1">Model_3!G9</f>
        <v>8.0000000000000036</v>
      </c>
      <c r="E9" s="2">
        <f>Model_4!G9</f>
        <v>8.9351179868034549</v>
      </c>
      <c r="F9" s="2">
        <f>Model_1!H9</f>
        <v>385.25631295336137</v>
      </c>
      <c r="G9" s="2">
        <f>Model_2!H9</f>
        <v>460.83235915187424</v>
      </c>
      <c r="H9" s="2">
        <f ca="1">Model_3!H9</f>
        <v>332</v>
      </c>
      <c r="I9" s="2">
        <f>Model_4!H9</f>
        <v>385.25631295336137</v>
      </c>
      <c r="J9" s="2">
        <f>Model_1!I9</f>
        <v>0</v>
      </c>
      <c r="K9" s="2">
        <f>Model_2!I9</f>
        <v>10.433294366074971</v>
      </c>
      <c r="L9" s="2">
        <f ca="1">Model_3!I9</f>
        <v>5.2800000000000011</v>
      </c>
      <c r="M9" s="2">
        <f>Model_4!I9</f>
        <v>0</v>
      </c>
      <c r="N9" s="2">
        <f>Model_1!J9</f>
        <v>1000</v>
      </c>
      <c r="O9" s="2">
        <f>Model_2!J9</f>
        <v>400</v>
      </c>
      <c r="P9" s="2">
        <f>Model_3!J9</f>
        <v>400</v>
      </c>
      <c r="Q9" s="2">
        <f>Model_4!J9</f>
        <v>1000</v>
      </c>
      <c r="R9" s="2">
        <f>Model_1!K9</f>
        <v>2.5956745324535633</v>
      </c>
      <c r="S9" s="2">
        <f>Model_2!K9</f>
        <v>0.86799460162947017</v>
      </c>
      <c r="T9" s="2">
        <f ca="1">Model_3!K9</f>
        <v>1.2048192771084338</v>
      </c>
      <c r="U9" s="2">
        <f>Model_4!K9</f>
        <v>2.5956745324535633</v>
      </c>
      <c r="V9" s="2">
        <f>Model_1!L9</f>
        <v>50.000000000000014</v>
      </c>
      <c r="W9" s="2">
        <f>Model_2!L9</f>
        <v>50</v>
      </c>
      <c r="X9" s="2">
        <f ca="1">Model_3!L9</f>
        <v>49.999999999999993</v>
      </c>
      <c r="Y9" s="2">
        <f>Model_4!L9</f>
        <v>50.000000000000014</v>
      </c>
      <c r="Z9" s="2">
        <f>Model_1!M9</f>
        <v>129.78372662267819</v>
      </c>
      <c r="AA9" s="2">
        <f>Model_2!M9</f>
        <v>43.399730081473507</v>
      </c>
      <c r="AB9" s="2">
        <f ca="1">Model_3!M9</f>
        <v>60.240963855421683</v>
      </c>
      <c r="AC9" s="2">
        <f>Model_4!M9</f>
        <v>129.78372662267819</v>
      </c>
      <c r="AD9" s="2">
        <f>Model_1!N9</f>
        <v>1.2978372662267819</v>
      </c>
      <c r="AE9" s="2">
        <f>Model_2!N9</f>
        <v>0.43399730081473509</v>
      </c>
      <c r="AF9" s="2">
        <f ca="1">Model_3!N9</f>
        <v>0.60240963855421681</v>
      </c>
      <c r="AG9" s="2">
        <f>Model_4!N9</f>
        <v>1.2978372662267819</v>
      </c>
    </row>
    <row r="10" spans="1:33" x14ac:dyDescent="0.3">
      <c r="A10" s="1">
        <v>8</v>
      </c>
      <c r="B10" s="2">
        <f>Model_1!G10</f>
        <v>8.0525775616793744</v>
      </c>
      <c r="C10" s="2">
        <f>Model_2!G10</f>
        <v>3.303799170039794</v>
      </c>
      <c r="D10" s="2">
        <f ca="1">Model_3!G10</f>
        <v>49.999999999999986</v>
      </c>
      <c r="E10" s="2">
        <f>Model_4!G10</f>
        <v>8.0525775616793744</v>
      </c>
      <c r="F10" s="2">
        <f>Model_1!H10</f>
        <v>394.19143094016482</v>
      </c>
      <c r="G10" s="2">
        <f>Model_2!H10</f>
        <v>450.39906478579928</v>
      </c>
      <c r="H10" s="2">
        <f ca="1">Model_3!H10</f>
        <v>334.72</v>
      </c>
      <c r="I10" s="2">
        <f>Model_4!H10</f>
        <v>394.19143094016482</v>
      </c>
      <c r="J10" s="2">
        <f>Model_1!I10</f>
        <v>0</v>
      </c>
      <c r="K10" s="2">
        <f>Model_2!I10</f>
        <v>0</v>
      </c>
      <c r="L10" s="2">
        <f ca="1">Model_3!I10</f>
        <v>0</v>
      </c>
      <c r="M10" s="2">
        <f>Model_4!I10</f>
        <v>0</v>
      </c>
      <c r="N10" s="2">
        <f>Model_1!J10</f>
        <v>1000</v>
      </c>
      <c r="O10" s="2">
        <f>Model_2!J10</f>
        <v>1000</v>
      </c>
      <c r="P10" s="2">
        <f>Model_3!J10</f>
        <v>1000</v>
      </c>
      <c r="Q10" s="2">
        <f>Model_4!J10</f>
        <v>1000</v>
      </c>
      <c r="R10" s="2">
        <f>Model_1!K10</f>
        <v>2.5368385041119583</v>
      </c>
      <c r="S10" s="2">
        <f>Model_2!K10</f>
        <v>2.2202532780026525</v>
      </c>
      <c r="T10" s="2">
        <f ca="1">Model_3!K10</f>
        <v>2.987571701720841</v>
      </c>
      <c r="U10" s="2">
        <f>Model_4!K10</f>
        <v>2.5368385041119583</v>
      </c>
      <c r="V10" s="2">
        <f>Model_1!L10</f>
        <v>50</v>
      </c>
      <c r="W10" s="2">
        <f>Model_2!L10</f>
        <v>50.000000000000014</v>
      </c>
      <c r="X10" s="2">
        <f ca="1">Model_3!L10</f>
        <v>50</v>
      </c>
      <c r="Y10" s="2">
        <f>Model_4!L10</f>
        <v>50</v>
      </c>
      <c r="Z10" s="2">
        <f>Model_1!M10</f>
        <v>126.84192520559792</v>
      </c>
      <c r="AA10" s="2">
        <f>Model_2!M10</f>
        <v>111.01266390013265</v>
      </c>
      <c r="AB10" s="2">
        <f ca="1">Model_3!M10</f>
        <v>149.37858508604205</v>
      </c>
      <c r="AC10" s="2">
        <f>Model_4!M10</f>
        <v>126.84192520559792</v>
      </c>
      <c r="AD10" s="2">
        <f>Model_1!N10</f>
        <v>1.2684192520559792</v>
      </c>
      <c r="AE10" s="2">
        <f>Model_2!N10</f>
        <v>1.1101266390013265</v>
      </c>
      <c r="AF10" s="2">
        <f ca="1">Model_3!N10</f>
        <v>1.4937858508604205</v>
      </c>
      <c r="AG10" s="2">
        <f>Model_4!N10</f>
        <v>1.2684192520559792</v>
      </c>
    </row>
    <row r="11" spans="1:33" x14ac:dyDescent="0.3">
      <c r="A11" s="1">
        <v>9</v>
      </c>
      <c r="B11" s="2">
        <f>Model_1!G11</f>
        <v>7.2907978315635518</v>
      </c>
      <c r="C11" s="2">
        <f>Model_2!G11</f>
        <v>36.636891346001377</v>
      </c>
      <c r="D11" s="2">
        <f ca="1">Model_3!G11</f>
        <v>32.000000000000014</v>
      </c>
      <c r="E11" s="2">
        <f>Model_4!G11</f>
        <v>7.2907978315635518</v>
      </c>
      <c r="F11" s="2">
        <f>Model_1!H11</f>
        <v>402.24400850184418</v>
      </c>
      <c r="G11" s="2">
        <f>Model_2!H11</f>
        <v>453.70286395583906</v>
      </c>
      <c r="H11" s="2">
        <f ca="1">Model_3!H11</f>
        <v>384.72</v>
      </c>
      <c r="I11" s="2">
        <f>Model_4!H11</f>
        <v>402.24400850184418</v>
      </c>
      <c r="J11" s="2">
        <f>Model_1!I11</f>
        <v>0</v>
      </c>
      <c r="K11" s="2">
        <f>Model_2!I11</f>
        <v>0</v>
      </c>
      <c r="L11" s="2">
        <f ca="1">Model_3!I11</f>
        <v>0</v>
      </c>
      <c r="M11" s="2">
        <f>Model_4!I11</f>
        <v>0</v>
      </c>
      <c r="N11" s="2">
        <f>Model_1!J11</f>
        <v>1000</v>
      </c>
      <c r="O11" s="2">
        <f>Model_2!J11</f>
        <v>1600</v>
      </c>
      <c r="P11" s="2">
        <f>Model_3!J11</f>
        <v>1600</v>
      </c>
      <c r="Q11" s="2">
        <f>Model_4!J11</f>
        <v>1000</v>
      </c>
      <c r="R11" s="2">
        <f>Model_1!K11</f>
        <v>2.486053188770903</v>
      </c>
      <c r="S11" s="2">
        <f>Model_2!K11</f>
        <v>3</v>
      </c>
      <c r="T11" s="2">
        <f ca="1">Model_3!K11</f>
        <v>3</v>
      </c>
      <c r="U11" s="2">
        <f>Model_4!K11</f>
        <v>2.486053188770903</v>
      </c>
      <c r="V11" s="2">
        <f>Model_1!L11</f>
        <v>50.000000000000014</v>
      </c>
      <c r="W11" s="2">
        <f>Model_2!L11</f>
        <v>58.775618990278744</v>
      </c>
      <c r="X11" s="2">
        <f ca="1">Model_3!L11</f>
        <v>69.314479794829126</v>
      </c>
      <c r="Y11" s="2">
        <f>Model_4!L11</f>
        <v>50.000000000000014</v>
      </c>
      <c r="Z11" s="2">
        <f>Model_1!M11</f>
        <v>124.30265943854518</v>
      </c>
      <c r="AA11" s="2">
        <f>Model_2!M11</f>
        <v>176.32685697083622</v>
      </c>
      <c r="AB11" s="2">
        <f ca="1">Model_3!M11</f>
        <v>207.94343938448736</v>
      </c>
      <c r="AC11" s="2">
        <f>Model_4!M11</f>
        <v>124.30265943854518</v>
      </c>
      <c r="AD11" s="2">
        <f>Model_1!N11</f>
        <v>1.2430265943854517</v>
      </c>
      <c r="AE11" s="2">
        <f>Model_2!N11</f>
        <v>1.7632685697083621</v>
      </c>
      <c r="AF11" s="2">
        <f ca="1">Model_3!N11</f>
        <v>2.0794343938448736</v>
      </c>
      <c r="AG11" s="2">
        <f>Model_4!N11</f>
        <v>1.2430265943854517</v>
      </c>
    </row>
    <row r="12" spans="1:33" x14ac:dyDescent="0.3">
      <c r="A12" s="1">
        <v>10</v>
      </c>
      <c r="B12" s="2">
        <f>Model_1!G12</f>
        <v>6.6269234458872877</v>
      </c>
      <c r="C12" s="2">
        <f>Model_2!G12</f>
        <v>0.59103374305513157</v>
      </c>
      <c r="D12" s="2">
        <f ca="1">Model_3!G12</f>
        <v>20.000000000000007</v>
      </c>
      <c r="E12" s="2">
        <f>Model_4!G12</f>
        <v>6.6269234458872877</v>
      </c>
      <c r="F12" s="2">
        <f>Model_1!H12</f>
        <v>409.53480633340774</v>
      </c>
      <c r="G12" s="2">
        <f>Model_2!H12</f>
        <v>490.33975530184046</v>
      </c>
      <c r="H12" s="2">
        <f ca="1">Model_3!H12</f>
        <v>416.72</v>
      </c>
      <c r="I12" s="2">
        <f>Model_4!H12</f>
        <v>409.53480633340774</v>
      </c>
      <c r="J12" s="2">
        <f>Model_1!I12</f>
        <v>0</v>
      </c>
      <c r="K12" s="2">
        <f>Model_2!I12</f>
        <v>0</v>
      </c>
      <c r="L12" s="2">
        <f ca="1">Model_3!I12</f>
        <v>0</v>
      </c>
      <c r="M12" s="2">
        <f>Model_4!I12</f>
        <v>0</v>
      </c>
      <c r="N12" s="2">
        <f>Model_1!J12</f>
        <v>1000</v>
      </c>
      <c r="O12" s="2">
        <f>Model_2!J12</f>
        <v>1000</v>
      </c>
      <c r="P12" s="2">
        <f>Model_3!J12</f>
        <v>1000</v>
      </c>
      <c r="Q12" s="2">
        <f>Model_4!J12</f>
        <v>1000</v>
      </c>
      <c r="R12" s="2">
        <f>Model_1!K12</f>
        <v>2.4417948963924854</v>
      </c>
      <c r="S12" s="2">
        <f>Model_2!K12</f>
        <v>2.0394022495370092</v>
      </c>
      <c r="T12" s="2">
        <f ca="1">Model_3!K12</f>
        <v>2.3996928393165673</v>
      </c>
      <c r="U12" s="2">
        <f>Model_4!K12</f>
        <v>2.4417948963924854</v>
      </c>
      <c r="V12" s="2">
        <f>Model_1!L12</f>
        <v>50.000000000000014</v>
      </c>
      <c r="W12" s="2">
        <f>Model_2!L12</f>
        <v>49.999999999999993</v>
      </c>
      <c r="X12" s="2">
        <f ca="1">Model_3!L12</f>
        <v>50</v>
      </c>
      <c r="Y12" s="2">
        <f>Model_4!L12</f>
        <v>50.000000000000014</v>
      </c>
      <c r="Z12" s="2">
        <f>Model_1!M12</f>
        <v>122.0897448196243</v>
      </c>
      <c r="AA12" s="2">
        <f>Model_2!M12</f>
        <v>101.97011247685045</v>
      </c>
      <c r="AB12" s="2">
        <f ca="1">Model_3!M12</f>
        <v>119.98464196582836</v>
      </c>
      <c r="AC12" s="2">
        <f>Model_4!M12</f>
        <v>122.0897448196243</v>
      </c>
      <c r="AD12" s="2">
        <f>Model_1!N12</f>
        <v>1.2208974481962429</v>
      </c>
      <c r="AE12" s="2">
        <f>Model_2!N12</f>
        <v>1.0197011247685044</v>
      </c>
      <c r="AF12" s="2">
        <f ca="1">Model_3!N12</f>
        <v>1.1998464196582836</v>
      </c>
      <c r="AG12" s="2">
        <f>Model_4!N12</f>
        <v>1.2208974481962429</v>
      </c>
    </row>
    <row r="13" spans="1:33" x14ac:dyDescent="0.3">
      <c r="A13" s="1">
        <v>11</v>
      </c>
      <c r="B13" s="2">
        <f>Model_1!G13</f>
        <v>6.0436794799825</v>
      </c>
      <c r="C13" s="2">
        <f>Model_2!G13</f>
        <v>0.55420506255567492</v>
      </c>
      <c r="D13" s="2">
        <f ca="1">Model_3!G13</f>
        <v>49.999999999999986</v>
      </c>
      <c r="E13" s="2">
        <f>Model_4!G13</f>
        <v>0</v>
      </c>
      <c r="F13" s="2">
        <f>Model_1!H13</f>
        <v>416.16172977929506</v>
      </c>
      <c r="G13" s="2">
        <f>Model_2!H13</f>
        <v>490.93078904489556</v>
      </c>
      <c r="H13" s="2">
        <f ca="1">Model_3!H13</f>
        <v>436.72</v>
      </c>
      <c r="I13" s="2">
        <f>Model_4!H13</f>
        <v>416.16172977929506</v>
      </c>
      <c r="J13" s="2">
        <f>Model_1!I13</f>
        <v>0</v>
      </c>
      <c r="K13" s="2">
        <f>Model_2!I13</f>
        <v>0</v>
      </c>
      <c r="L13" s="2">
        <f ca="1">Model_3!I13</f>
        <v>0</v>
      </c>
      <c r="M13" s="2">
        <f>Model_4!I13</f>
        <v>8.6464691911718035</v>
      </c>
      <c r="N13" s="2">
        <f>Model_1!J13</f>
        <v>1000</v>
      </c>
      <c r="O13" s="2">
        <f>Model_2!J13</f>
        <v>1000</v>
      </c>
      <c r="P13" s="2">
        <f>Model_3!J13</f>
        <v>1000</v>
      </c>
      <c r="Q13" s="2">
        <f>Model_4!J13</f>
        <v>400</v>
      </c>
      <c r="R13" s="2">
        <f>Model_1!K13</f>
        <v>2.4029119653321667</v>
      </c>
      <c r="S13" s="2">
        <f>Model_2!K13</f>
        <v>2.0369470041703783</v>
      </c>
      <c r="T13" s="2">
        <f ca="1">Model_3!K13</f>
        <v>2.2897966660560543</v>
      </c>
      <c r="U13" s="2">
        <f>Model_4!K13</f>
        <v>0.96116478613286671</v>
      </c>
      <c r="V13" s="2">
        <f>Model_1!L13</f>
        <v>50</v>
      </c>
      <c r="W13" s="2">
        <f>Model_2!L13</f>
        <v>50</v>
      </c>
      <c r="X13" s="2">
        <f ca="1">Model_3!L13</f>
        <v>49.999999999999993</v>
      </c>
      <c r="Y13" s="2">
        <f>Model_4!L13</f>
        <v>50</v>
      </c>
      <c r="Z13" s="2">
        <f>Model_1!M13</f>
        <v>120.14559826660833</v>
      </c>
      <c r="AA13" s="2">
        <f>Model_2!M13</f>
        <v>101.84735020851892</v>
      </c>
      <c r="AB13" s="2">
        <f ca="1">Model_3!M13</f>
        <v>114.48983330280269</v>
      </c>
      <c r="AC13" s="2">
        <f>Model_4!M13</f>
        <v>48.058239306643337</v>
      </c>
      <c r="AD13" s="2">
        <f>Model_1!N13</f>
        <v>1.2014559826660833</v>
      </c>
      <c r="AE13" s="2">
        <f>Model_2!N13</f>
        <v>1.0184735020851892</v>
      </c>
      <c r="AF13" s="2">
        <f ca="1">Model_3!N13</f>
        <v>1.1448983330280269</v>
      </c>
      <c r="AG13" s="2">
        <f>Model_4!N13</f>
        <v>0.48058239306643336</v>
      </c>
    </row>
    <row r="14" spans="1:33" x14ac:dyDescent="0.3">
      <c r="A14" s="1">
        <v>12</v>
      </c>
      <c r="B14" s="2">
        <f>Model_1!G14</f>
        <v>5.5277305099339884</v>
      </c>
      <c r="C14" s="2">
        <f>Model_2!G14</f>
        <v>30.130564433071534</v>
      </c>
      <c r="D14" s="2">
        <f ca="1">Model_3!G14</f>
        <v>0</v>
      </c>
      <c r="E14" s="2">
        <f>Model_4!G14</f>
        <v>0</v>
      </c>
      <c r="F14" s="2">
        <f>Model_1!H14</f>
        <v>422.20540925927753</v>
      </c>
      <c r="G14" s="2">
        <f>Model_2!H14</f>
        <v>491.48499410745126</v>
      </c>
      <c r="H14" s="2">
        <f ca="1">Model_3!H14</f>
        <v>486.72</v>
      </c>
      <c r="I14" s="2">
        <f>Model_4!H14</f>
        <v>407.51526058812328</v>
      </c>
      <c r="J14" s="2">
        <f>Model_1!I14</f>
        <v>0</v>
      </c>
      <c r="K14" s="2">
        <f>Model_2!I14</f>
        <v>0</v>
      </c>
      <c r="L14" s="2">
        <f ca="1">Model_3!I14</f>
        <v>0</v>
      </c>
      <c r="M14" s="2">
        <f>Model_4!I14</f>
        <v>8.3006104235249332</v>
      </c>
      <c r="N14" s="2">
        <f>Model_1!J14</f>
        <v>1000</v>
      </c>
      <c r="O14" s="2">
        <f>Model_2!J14</f>
        <v>1600</v>
      </c>
      <c r="P14" s="2">
        <f>Model_3!J14</f>
        <v>1600</v>
      </c>
      <c r="Q14" s="2">
        <f>Model_4!J14</f>
        <v>400</v>
      </c>
      <c r="R14" s="2">
        <f>Model_1!K14</f>
        <v>2.3685153673289325</v>
      </c>
      <c r="S14" s="2">
        <f>Model_2!K14</f>
        <v>3</v>
      </c>
      <c r="T14" s="2">
        <f ca="1">Model_3!K14</f>
        <v>3</v>
      </c>
      <c r="U14" s="2">
        <f>Model_4!K14</f>
        <v>0.98155833335596487</v>
      </c>
      <c r="V14" s="2">
        <f>Model_1!L14</f>
        <v>50</v>
      </c>
      <c r="W14" s="2">
        <f>Model_2!L14</f>
        <v>54.257336411855228</v>
      </c>
      <c r="X14" s="2">
        <f ca="1">Model_3!L14</f>
        <v>54.788516326977863</v>
      </c>
      <c r="Y14" s="2">
        <f>Model_4!L14</f>
        <v>50</v>
      </c>
      <c r="Z14" s="2">
        <f>Model_1!M14</f>
        <v>118.42576836644663</v>
      </c>
      <c r="AA14" s="2">
        <f>Model_2!M14</f>
        <v>162.77200923556569</v>
      </c>
      <c r="AB14" s="2">
        <f ca="1">Model_3!M14</f>
        <v>164.3655489809336</v>
      </c>
      <c r="AC14" s="2">
        <f>Model_4!M14</f>
        <v>49.077916667798242</v>
      </c>
      <c r="AD14" s="2">
        <f>Model_1!N14</f>
        <v>1.1842576836644663</v>
      </c>
      <c r="AE14" s="2">
        <f>Model_2!N14</f>
        <v>1.627720092355657</v>
      </c>
      <c r="AF14" s="2">
        <f ca="1">Model_3!N14</f>
        <v>1.6436554898093361</v>
      </c>
      <c r="AG14" s="2">
        <f>Model_4!N14</f>
        <v>0.49077916667798244</v>
      </c>
    </row>
    <row r="15" spans="1:33" x14ac:dyDescent="0.3">
      <c r="A15" s="1">
        <v>13</v>
      </c>
      <c r="B15" s="2">
        <f>Model_1!G15</f>
        <v>5.0685944233674025</v>
      </c>
      <c r="C15" s="2">
        <f>Model_2!G15</f>
        <v>0</v>
      </c>
      <c r="D15" s="2">
        <f ca="1">Model_3!G15</f>
        <v>14.813575525812615</v>
      </c>
      <c r="E15" s="2">
        <f>Model_4!G15</f>
        <v>0</v>
      </c>
      <c r="F15" s="2">
        <f>Model_1!H15</f>
        <v>427.7331397692115</v>
      </c>
      <c r="G15" s="2">
        <f>Model_2!H15</f>
        <v>521.61555854052278</v>
      </c>
      <c r="H15" s="2">
        <f ca="1">Model_3!H15</f>
        <v>486.72</v>
      </c>
      <c r="I15" s="2">
        <f>Model_4!H15</f>
        <v>399.21465016459837</v>
      </c>
      <c r="J15" s="2">
        <f>Model_1!I15</f>
        <v>0</v>
      </c>
      <c r="K15" s="2">
        <f>Model_2!I15</f>
        <v>0.86462234162091045</v>
      </c>
      <c r="L15" s="2">
        <f ca="1">Model_3!I15</f>
        <v>0</v>
      </c>
      <c r="M15" s="2">
        <f>Model_4!I15</f>
        <v>7.9685860065839353</v>
      </c>
      <c r="N15" s="2">
        <f>Model_1!J15</f>
        <v>1000</v>
      </c>
      <c r="O15" s="2">
        <f>Model_2!J15</f>
        <v>1000</v>
      </c>
      <c r="P15" s="2">
        <f>Model_3!J15</f>
        <v>1000</v>
      </c>
      <c r="Q15" s="2">
        <f>Model_4!J15</f>
        <v>400</v>
      </c>
      <c r="R15" s="2">
        <f>Model_1!K15</f>
        <v>2.3379062948911602</v>
      </c>
      <c r="S15" s="2">
        <f>Model_2!K15</f>
        <v>1.9171207292934169</v>
      </c>
      <c r="T15" s="2">
        <f ca="1">Model_3!K15</f>
        <v>2.0545693622616699</v>
      </c>
      <c r="U15" s="2">
        <f>Model_4!K15</f>
        <v>1.0019672370116623</v>
      </c>
      <c r="V15" s="2">
        <f>Model_1!L15</f>
        <v>50</v>
      </c>
      <c r="W15" s="2">
        <f>Model_2!L15</f>
        <v>50</v>
      </c>
      <c r="X15" s="2">
        <f ca="1">Model_3!L15</f>
        <v>50</v>
      </c>
      <c r="Y15" s="2">
        <f>Model_4!L15</f>
        <v>50</v>
      </c>
      <c r="Z15" s="2">
        <f>Model_1!M15</f>
        <v>116.89531474455801</v>
      </c>
      <c r="AA15" s="2">
        <f>Model_2!M15</f>
        <v>95.856036464670851</v>
      </c>
      <c r="AB15" s="2">
        <f ca="1">Model_3!M15</f>
        <v>102.72846811308349</v>
      </c>
      <c r="AC15" s="2">
        <f>Model_4!M15</f>
        <v>50.098361850583117</v>
      </c>
      <c r="AD15" s="2">
        <f>Model_1!N15</f>
        <v>1.1689531474455801</v>
      </c>
      <c r="AE15" s="2">
        <f>Model_2!N15</f>
        <v>0.95856036464670846</v>
      </c>
      <c r="AF15" s="2">
        <f ca="1">Model_3!N15</f>
        <v>1.0272846811308349</v>
      </c>
      <c r="AG15" s="2">
        <f>Model_4!N15</f>
        <v>0.50098361850583117</v>
      </c>
    </row>
    <row r="16" spans="1:33" x14ac:dyDescent="0.3">
      <c r="A16" s="1">
        <v>14</v>
      </c>
      <c r="B16" s="2">
        <f>Model_1!G16</f>
        <v>4.6579017941864791</v>
      </c>
      <c r="C16" s="2">
        <f>Model_2!G16</f>
        <v>0</v>
      </c>
      <c r="D16" s="2">
        <f ca="1">Model_3!G16</f>
        <v>12.953212726138483</v>
      </c>
      <c r="E16" s="2">
        <f>Model_4!G16</f>
        <v>0</v>
      </c>
      <c r="F16" s="2">
        <f>Model_1!H16</f>
        <v>432.80173419257892</v>
      </c>
      <c r="G16" s="2">
        <f>Model_2!H16</f>
        <v>520.75093619890185</v>
      </c>
      <c r="H16" s="2">
        <f ca="1">Model_3!H16</f>
        <v>501.53357552581264</v>
      </c>
      <c r="I16" s="2">
        <f>Model_4!H16</f>
        <v>391.24606415801441</v>
      </c>
      <c r="J16" s="2">
        <f>Model_1!I16</f>
        <v>0</v>
      </c>
      <c r="K16" s="2">
        <f>Model_2!I16</f>
        <v>12.830037447956075</v>
      </c>
      <c r="L16" s="2">
        <f ca="1">Model_3!I16</f>
        <v>12.061343021032505</v>
      </c>
      <c r="M16" s="2">
        <f>Model_4!I16</f>
        <v>7.6498425663205767</v>
      </c>
      <c r="N16" s="2">
        <f>Model_1!J16</f>
        <v>1000</v>
      </c>
      <c r="O16" s="2">
        <f>Model_2!J16</f>
        <v>400</v>
      </c>
      <c r="P16" s="2">
        <f>Model_3!J16</f>
        <v>400</v>
      </c>
      <c r="Q16" s="2">
        <f>Model_4!J16</f>
        <v>400</v>
      </c>
      <c r="R16" s="2">
        <f>Model_1!K16</f>
        <v>2.3105267862790986</v>
      </c>
      <c r="S16" s="2">
        <f>Model_2!K16</f>
        <v>0.76812151874311596</v>
      </c>
      <c r="T16" s="2">
        <f ca="1">Model_3!K16</f>
        <v>0.79755378207856997</v>
      </c>
      <c r="U16" s="2">
        <f>Model_4!K16</f>
        <v>1.0223745019923065</v>
      </c>
      <c r="V16" s="2">
        <f>Model_1!L16</f>
        <v>50</v>
      </c>
      <c r="W16" s="2">
        <f>Model_2!L16</f>
        <v>50</v>
      </c>
      <c r="X16" s="2">
        <f ca="1">Model_3!L16</f>
        <v>50</v>
      </c>
      <c r="Y16" s="2">
        <f>Model_4!L16</f>
        <v>50</v>
      </c>
      <c r="Z16" s="2">
        <f>Model_1!M16</f>
        <v>115.52633931395494</v>
      </c>
      <c r="AA16" s="2">
        <f>Model_2!M16</f>
        <v>38.406075937155798</v>
      </c>
      <c r="AB16" s="2">
        <f ca="1">Model_3!M16</f>
        <v>39.877689103928496</v>
      </c>
      <c r="AC16" s="2">
        <f>Model_4!M16</f>
        <v>51.118725099615325</v>
      </c>
      <c r="AD16" s="2">
        <f>Model_1!N16</f>
        <v>1.1552633931395493</v>
      </c>
      <c r="AE16" s="2">
        <f>Model_2!N16</f>
        <v>0.38406075937155798</v>
      </c>
      <c r="AF16" s="2">
        <f ca="1">Model_3!N16</f>
        <v>0.39877689103928499</v>
      </c>
      <c r="AG16" s="2">
        <f>Model_4!N16</f>
        <v>0.51118725099615325</v>
      </c>
    </row>
    <row r="17" spans="1:33" x14ac:dyDescent="0.3">
      <c r="A17" s="1">
        <v>15</v>
      </c>
      <c r="B17" s="2">
        <f>Model_1!G17</f>
        <v>4.2888777982108461</v>
      </c>
      <c r="C17" s="2">
        <f>Model_2!G17</f>
        <v>27.602323303552591</v>
      </c>
      <c r="D17" s="2">
        <f ca="1">Model_3!G17</f>
        <v>9.5926281435976151</v>
      </c>
      <c r="E17" s="2">
        <f>Model_4!G17</f>
        <v>0</v>
      </c>
      <c r="F17" s="2">
        <f>Model_1!H17</f>
        <v>437.45963598676542</v>
      </c>
      <c r="G17" s="2">
        <f>Model_2!H17</f>
        <v>507.92089875094575</v>
      </c>
      <c r="H17" s="2">
        <f ca="1">Model_3!H17</f>
        <v>502.42544523091863</v>
      </c>
      <c r="I17" s="2">
        <f>Model_4!H17</f>
        <v>383.59622159169385</v>
      </c>
      <c r="J17" s="2">
        <f>Model_1!I17</f>
        <v>0</v>
      </c>
      <c r="K17" s="2">
        <f>Model_2!I17</f>
        <v>0</v>
      </c>
      <c r="L17" s="2">
        <f ca="1">Model_3!I17</f>
        <v>0</v>
      </c>
      <c r="M17" s="2">
        <f>Model_4!I17</f>
        <v>7.3438488636677546</v>
      </c>
      <c r="N17" s="2">
        <f>Model_1!J17</f>
        <v>1000</v>
      </c>
      <c r="O17" s="2">
        <f>Model_2!J17</f>
        <v>1600</v>
      </c>
      <c r="P17" s="2">
        <f>Model_3!J17</f>
        <v>1600</v>
      </c>
      <c r="Q17" s="2">
        <f>Model_4!J17</f>
        <v>400</v>
      </c>
      <c r="R17" s="2">
        <f>Model_1!K17</f>
        <v>2.2859251865473897</v>
      </c>
      <c r="S17" s="2">
        <f>Model_2!K17</f>
        <v>3</v>
      </c>
      <c r="T17" s="2">
        <f ca="1">Model_3!K17</f>
        <v>3</v>
      </c>
      <c r="U17" s="2">
        <f>Model_4!K17</f>
        <v>1.0427631386467791</v>
      </c>
      <c r="V17" s="2">
        <f>Model_1!L17</f>
        <v>50</v>
      </c>
      <c r="W17" s="2">
        <f>Model_2!L17</f>
        <v>52.501613405244854</v>
      </c>
      <c r="X17" s="2">
        <f ca="1">Model_3!L17</f>
        <v>53.075868110960144</v>
      </c>
      <c r="Y17" s="2">
        <f>Model_4!L17</f>
        <v>49.999999999999993</v>
      </c>
      <c r="Z17" s="2">
        <f>Model_1!M17</f>
        <v>114.29625932736948</v>
      </c>
      <c r="AA17" s="2">
        <f>Model_2!M17</f>
        <v>157.50484021573456</v>
      </c>
      <c r="AB17" s="2">
        <f ca="1">Model_3!M17</f>
        <v>159.22760433288045</v>
      </c>
      <c r="AC17" s="2">
        <f>Model_4!M17</f>
        <v>52.138156932338944</v>
      </c>
      <c r="AD17" s="2">
        <f>Model_1!N17</f>
        <v>1.1429625932736949</v>
      </c>
      <c r="AE17" s="2">
        <f>Model_2!N17</f>
        <v>1.5750484021573457</v>
      </c>
      <c r="AF17" s="2">
        <f ca="1">Model_3!N17</f>
        <v>1.5922760433288046</v>
      </c>
      <c r="AG17" s="2">
        <f>Model_4!N17</f>
        <v>0.52138156932338942</v>
      </c>
    </row>
    <row r="18" spans="1:33" x14ac:dyDescent="0.3">
      <c r="A18" s="1">
        <v>16</v>
      </c>
      <c r="B18" s="2">
        <f>Model_1!G18</f>
        <v>3.9559716262030054</v>
      </c>
      <c r="C18" s="2">
        <f>Model_2!G18</f>
        <v>0</v>
      </c>
      <c r="D18" s="2">
        <f ca="1">Model_3!G18</f>
        <v>4.3469499908408071</v>
      </c>
      <c r="E18" s="2">
        <f>Model_4!G18</f>
        <v>0</v>
      </c>
      <c r="F18" s="2">
        <f>Model_1!H18</f>
        <v>441.74851378497624</v>
      </c>
      <c r="G18" s="2">
        <f>Model_2!H18</f>
        <v>535.52322205449832</v>
      </c>
      <c r="H18" s="2">
        <f ca="1">Model_3!H18</f>
        <v>512.01807337451623</v>
      </c>
      <c r="I18" s="2">
        <f>Model_4!H18</f>
        <v>376.2523727280261</v>
      </c>
      <c r="J18" s="2">
        <f>Model_1!I18</f>
        <v>0</v>
      </c>
      <c r="K18" s="2">
        <f>Model_2!I18</f>
        <v>1.4209288821799317</v>
      </c>
      <c r="L18" s="2">
        <f ca="1">Model_3!I18</f>
        <v>0.48072293498064905</v>
      </c>
      <c r="M18" s="2">
        <f>Model_4!I18</f>
        <v>7.0500949091210448</v>
      </c>
      <c r="N18" s="2">
        <f>Model_1!J18</f>
        <v>1000</v>
      </c>
      <c r="O18" s="2">
        <f>Model_2!J18</f>
        <v>1000</v>
      </c>
      <c r="P18" s="2">
        <f>Model_3!J18</f>
        <v>1000</v>
      </c>
      <c r="Q18" s="2">
        <f>Model_4!J18</f>
        <v>400</v>
      </c>
      <c r="R18" s="2">
        <f>Model_1!K18</f>
        <v>2.263731441746867</v>
      </c>
      <c r="S18" s="2">
        <f>Model_2!K18</f>
        <v>1.8673326549006937</v>
      </c>
      <c r="T18" s="2">
        <f ca="1">Model_3!K18</f>
        <v>1.9530560579812752</v>
      </c>
      <c r="U18" s="2">
        <f>Model_4!K18</f>
        <v>1.0631162193072463</v>
      </c>
      <c r="V18" s="2">
        <f>Model_1!L18</f>
        <v>50</v>
      </c>
      <c r="W18" s="2">
        <f>Model_2!L18</f>
        <v>50</v>
      </c>
      <c r="X18" s="2">
        <f ca="1">Model_3!L18</f>
        <v>50</v>
      </c>
      <c r="Y18" s="2">
        <f>Model_4!L18</f>
        <v>50</v>
      </c>
      <c r="Z18" s="2">
        <f>Model_1!M18</f>
        <v>113.18657208734335</v>
      </c>
      <c r="AA18" s="2">
        <f>Model_2!M18</f>
        <v>93.366632745034678</v>
      </c>
      <c r="AB18" s="2">
        <f ca="1">Model_3!M18</f>
        <v>97.652802899063758</v>
      </c>
      <c r="AC18" s="2">
        <f>Model_4!M18</f>
        <v>53.155810965362313</v>
      </c>
      <c r="AD18" s="2">
        <f>Model_1!N18</f>
        <v>1.1318657208734335</v>
      </c>
      <c r="AE18" s="2">
        <f>Model_2!N18</f>
        <v>0.93366632745034683</v>
      </c>
      <c r="AF18" s="2">
        <f ca="1">Model_3!N18</f>
        <v>0.97652802899063762</v>
      </c>
      <c r="AG18" s="2">
        <f>Model_4!N18</f>
        <v>0.53155810965362316</v>
      </c>
    </row>
    <row r="19" spans="1:33" x14ac:dyDescent="0.3">
      <c r="A19" s="1">
        <v>17</v>
      </c>
      <c r="B19" s="2">
        <f>Model_1!G19</f>
        <v>3.6545861461590068</v>
      </c>
      <c r="C19" s="2">
        <f>Model_2!G19</f>
        <v>0</v>
      </c>
      <c r="D19" s="2">
        <f ca="1">Model_3!G19</f>
        <v>19.30966469428008</v>
      </c>
      <c r="E19" s="2">
        <f>Model_4!G19</f>
        <v>0</v>
      </c>
      <c r="F19" s="2">
        <f>Model_1!H19</f>
        <v>445.70448541117923</v>
      </c>
      <c r="G19" s="2">
        <f>Model_2!H19</f>
        <v>534.10229317231835</v>
      </c>
      <c r="H19" s="2">
        <f ca="1">Model_3!H19</f>
        <v>515.88430043037636</v>
      </c>
      <c r="I19" s="2">
        <f>Model_4!H19</f>
        <v>369.20227781890503</v>
      </c>
      <c r="J19" s="2">
        <f>Model_1!I19</f>
        <v>0</v>
      </c>
      <c r="K19" s="2">
        <f>Model_2!I19</f>
        <v>1.3640917268927348</v>
      </c>
      <c r="L19" s="2">
        <f ca="1">Model_3!I19</f>
        <v>0.63537201721505476</v>
      </c>
      <c r="M19" s="2">
        <f>Model_4!I19</f>
        <v>6.7680911127562018</v>
      </c>
      <c r="N19" s="2">
        <f>Model_1!J19</f>
        <v>1000</v>
      </c>
      <c r="O19" s="2">
        <f>Model_2!J19</f>
        <v>1000</v>
      </c>
      <c r="P19" s="2">
        <f>Model_3!J19</f>
        <v>1000</v>
      </c>
      <c r="Q19" s="2">
        <f>Model_4!J19</f>
        <v>400</v>
      </c>
      <c r="R19" s="2">
        <f>Model_1!K19</f>
        <v>2.2436390764106</v>
      </c>
      <c r="S19" s="2">
        <f>Model_2!K19</f>
        <v>1.8723005176788639</v>
      </c>
      <c r="T19" s="2">
        <f ca="1">Model_3!K19</f>
        <v>1.9384191361624112</v>
      </c>
      <c r="U19" s="2">
        <f>Model_4!K19</f>
        <v>1.0834169343781821</v>
      </c>
      <c r="V19" s="2">
        <f>Model_1!L19</f>
        <v>50.000000000000014</v>
      </c>
      <c r="W19" s="2">
        <f>Model_2!L19</f>
        <v>50</v>
      </c>
      <c r="X19" s="2">
        <f ca="1">Model_3!L19</f>
        <v>50</v>
      </c>
      <c r="Y19" s="2">
        <f>Model_4!L19</f>
        <v>50</v>
      </c>
      <c r="Z19" s="2">
        <f>Model_1!M19</f>
        <v>112.18195382053003</v>
      </c>
      <c r="AA19" s="2">
        <f>Model_2!M19</f>
        <v>93.61502588394319</v>
      </c>
      <c r="AB19" s="2">
        <f ca="1">Model_3!M19</f>
        <v>96.920956808120565</v>
      </c>
      <c r="AC19" s="2">
        <f>Model_4!M19</f>
        <v>54.170846718909104</v>
      </c>
      <c r="AD19" s="2">
        <f>Model_1!N19</f>
        <v>1.1218195382053002</v>
      </c>
      <c r="AE19" s="2">
        <f>Model_2!N19</f>
        <v>0.93615025883943193</v>
      </c>
      <c r="AF19" s="2">
        <f ca="1">Model_3!N19</f>
        <v>0.96920956808120562</v>
      </c>
      <c r="AG19" s="2">
        <f>Model_4!N19</f>
        <v>0.54170846718909105</v>
      </c>
    </row>
    <row r="20" spans="1:33" x14ac:dyDescent="0.3">
      <c r="A20" s="1">
        <v>18</v>
      </c>
      <c r="B20" s="2">
        <f>Model_1!G20</f>
        <v>3.3808772303509538</v>
      </c>
      <c r="C20" s="2">
        <f>Model_2!G20</f>
        <v>24.080432557329466</v>
      </c>
      <c r="D20" s="2">
        <f ca="1">Model_3!G20</f>
        <v>1.3096646942800767</v>
      </c>
      <c r="E20" s="2">
        <f>Model_4!G20</f>
        <v>0</v>
      </c>
      <c r="F20" s="2">
        <f>Model_1!H20</f>
        <v>449.35907155733827</v>
      </c>
      <c r="G20" s="2">
        <f>Model_2!H20</f>
        <v>532.7382014454256</v>
      </c>
      <c r="H20" s="2">
        <f ca="1">Model_3!H20</f>
        <v>534.55859310744142</v>
      </c>
      <c r="I20" s="2">
        <f>Model_4!H20</f>
        <v>362.43418670614881</v>
      </c>
      <c r="J20" s="2">
        <f>Model_1!I20</f>
        <v>0</v>
      </c>
      <c r="K20" s="2">
        <f>Model_2!I20</f>
        <v>0</v>
      </c>
      <c r="L20" s="2">
        <f ca="1">Model_3!I20</f>
        <v>0</v>
      </c>
      <c r="M20" s="2">
        <f>Model_4!I20</f>
        <v>6.4973674682459528</v>
      </c>
      <c r="N20" s="2">
        <f>Model_1!J20</f>
        <v>1000</v>
      </c>
      <c r="O20" s="2">
        <f>Model_2!J20</f>
        <v>1600</v>
      </c>
      <c r="P20" s="2">
        <f>Model_3!J20</f>
        <v>1600</v>
      </c>
      <c r="Q20" s="2">
        <f>Model_4!J20</f>
        <v>400</v>
      </c>
      <c r="R20" s="2">
        <f>Model_1!K20</f>
        <v>2.2253918153567307</v>
      </c>
      <c r="S20" s="2">
        <f>Model_2!K20</f>
        <v>3</v>
      </c>
      <c r="T20" s="2">
        <f ca="1">Model_3!K20</f>
        <v>2.993123711095997</v>
      </c>
      <c r="U20" s="2">
        <f>Model_4!K20</f>
        <v>1.1036486475938001</v>
      </c>
      <c r="V20" s="2">
        <f>Model_1!L20</f>
        <v>49.999999999999993</v>
      </c>
      <c r="W20" s="2">
        <f>Model_2!L20</f>
        <v>50.055855942589908</v>
      </c>
      <c r="X20" s="2">
        <f ca="1">Model_3!L20</f>
        <v>50</v>
      </c>
      <c r="Y20" s="2">
        <f>Model_4!L20</f>
        <v>50</v>
      </c>
      <c r="Z20" s="2">
        <f>Model_1!M20</f>
        <v>111.26959076783652</v>
      </c>
      <c r="AA20" s="2">
        <f>Model_2!M20</f>
        <v>150.16756782776972</v>
      </c>
      <c r="AB20" s="2">
        <f ca="1">Model_3!M20</f>
        <v>149.65618555479983</v>
      </c>
      <c r="AC20" s="2">
        <f>Model_4!M20</f>
        <v>55.182432379690006</v>
      </c>
      <c r="AD20" s="2">
        <f>Model_1!N20</f>
        <v>1.1126959076783651</v>
      </c>
      <c r="AE20" s="2">
        <f>Model_2!N20</f>
        <v>1.5016756782776972</v>
      </c>
      <c r="AF20" s="2">
        <f ca="1">Model_3!N20</f>
        <v>1.4965618555479983</v>
      </c>
      <c r="AG20" s="2">
        <f>Model_4!N20</f>
        <v>0.55182432379690005</v>
      </c>
    </row>
    <row r="21" spans="1:33" x14ac:dyDescent="0.3">
      <c r="A21" s="1">
        <v>19</v>
      </c>
      <c r="B21" s="2">
        <f>Model_1!G21</f>
        <v>3.1316024578034263</v>
      </c>
      <c r="C21" s="2">
        <f>Model_2!G21</f>
        <v>0</v>
      </c>
      <c r="D21" s="2">
        <f ca="1">Model_3!G21</f>
        <v>0</v>
      </c>
      <c r="E21" s="2">
        <f>Model_4!G21</f>
        <v>0</v>
      </c>
      <c r="F21" s="2">
        <f>Model_1!H21</f>
        <v>452.73994878768923</v>
      </c>
      <c r="G21" s="2">
        <f>Model_2!H21</f>
        <v>556.81863400275506</v>
      </c>
      <c r="H21" s="2">
        <f ca="1">Model_3!H21</f>
        <v>535.86825780172148</v>
      </c>
      <c r="I21" s="2">
        <f>Model_4!H21</f>
        <v>355.93681923790285</v>
      </c>
      <c r="J21" s="2">
        <f>Model_1!I21</f>
        <v>0</v>
      </c>
      <c r="K21" s="2">
        <f>Model_2!I21</f>
        <v>2.2727453601102048</v>
      </c>
      <c r="L21" s="2">
        <f ca="1">Model_3!I21</f>
        <v>1.4347303120688586</v>
      </c>
      <c r="M21" s="2">
        <f>Model_4!I21</f>
        <v>6.2374727695161152</v>
      </c>
      <c r="N21" s="2">
        <f>Model_1!J21</f>
        <v>1000</v>
      </c>
      <c r="O21" s="2">
        <f>Model_2!J21</f>
        <v>1000</v>
      </c>
      <c r="P21" s="2">
        <f>Model_3!J21</f>
        <v>1000</v>
      </c>
      <c r="Q21" s="2">
        <f>Model_4!J21</f>
        <v>400</v>
      </c>
      <c r="R21" s="2">
        <f>Model_1!K21</f>
        <v>2.2087734971868946</v>
      </c>
      <c r="S21" s="2">
        <f>Model_2!K21</f>
        <v>1.7959169089069174</v>
      </c>
      <c r="T21" s="2">
        <f ca="1">Model_3!K21</f>
        <v>1.8661303136376732</v>
      </c>
      <c r="U21" s="2">
        <f>Model_4!K21</f>
        <v>1.1237949500600724</v>
      </c>
      <c r="V21" s="2">
        <f>Model_1!L21</f>
        <v>50.000000000000014</v>
      </c>
      <c r="W21" s="2">
        <f>Model_2!L21</f>
        <v>50</v>
      </c>
      <c r="X21" s="2">
        <f ca="1">Model_3!L21</f>
        <v>50</v>
      </c>
      <c r="Y21" s="2">
        <f>Model_4!L21</f>
        <v>49.999999999999993</v>
      </c>
      <c r="Z21" s="2">
        <f>Model_1!M21</f>
        <v>110.43867485934476</v>
      </c>
      <c r="AA21" s="2">
        <f>Model_2!M21</f>
        <v>89.795845445345861</v>
      </c>
      <c r="AB21" s="2">
        <f ca="1">Model_3!M21</f>
        <v>93.306515681883667</v>
      </c>
      <c r="AC21" s="2">
        <f>Model_4!M21</f>
        <v>56.189747503003609</v>
      </c>
      <c r="AD21" s="2">
        <f>Model_1!N21</f>
        <v>1.1043867485934475</v>
      </c>
      <c r="AE21" s="2">
        <f>Model_2!N21</f>
        <v>0.89795845445345857</v>
      </c>
      <c r="AF21" s="2">
        <f ca="1">Model_3!N21</f>
        <v>0.93306515681883662</v>
      </c>
      <c r="AG21" s="2">
        <f>Model_4!N21</f>
        <v>0.56189747503003606</v>
      </c>
    </row>
    <row r="22" spans="1:33" x14ac:dyDescent="0.3">
      <c r="A22" s="1">
        <v>20</v>
      </c>
      <c r="B22" s="2">
        <f>Model_1!G22</f>
        <v>2.9040054353431421</v>
      </c>
      <c r="C22" s="2">
        <f>Model_2!G22</f>
        <v>0</v>
      </c>
      <c r="D22" s="2">
        <f ca="1">Model_3!G22</f>
        <v>17.768281299864135</v>
      </c>
      <c r="E22" s="2">
        <f>Model_4!G22</f>
        <v>0</v>
      </c>
      <c r="F22" s="2">
        <f>Model_1!H22</f>
        <v>455.87155124549264</v>
      </c>
      <c r="G22" s="2">
        <f>Model_2!H22</f>
        <v>554.54588864264485</v>
      </c>
      <c r="H22" s="2">
        <f ca="1">Model_3!H22</f>
        <v>534.43352748965265</v>
      </c>
      <c r="I22" s="2">
        <f>Model_4!H22</f>
        <v>349.69934646838675</v>
      </c>
      <c r="J22" s="2">
        <f>Model_1!I22</f>
        <v>0</v>
      </c>
      <c r="K22" s="2">
        <f>Model_2!I22</f>
        <v>2.181835545705797</v>
      </c>
      <c r="L22" s="2">
        <f ca="1">Model_3!I22</f>
        <v>1.3773410995861055</v>
      </c>
      <c r="M22" s="2">
        <f>Model_4!I22</f>
        <v>5.9879738587354696</v>
      </c>
      <c r="N22" s="2">
        <f>Model_1!J22</f>
        <v>1000</v>
      </c>
      <c r="O22" s="2">
        <f>Model_2!J22</f>
        <v>1000</v>
      </c>
      <c r="P22" s="2">
        <f>Model_3!J22</f>
        <v>1000</v>
      </c>
      <c r="Q22" s="2">
        <f>Model_4!J22</f>
        <v>400</v>
      </c>
      <c r="R22" s="2">
        <f>Model_1!K22</f>
        <v>2.1936003623562095</v>
      </c>
      <c r="S22" s="2">
        <f>Model_2!K22</f>
        <v>1.8032772769223619</v>
      </c>
      <c r="T22" s="2">
        <f ca="1">Model_3!K22</f>
        <v>1.8711400923838211</v>
      </c>
      <c r="U22" s="2">
        <f>Model_4!K22</f>
        <v>1.1438397127120754</v>
      </c>
      <c r="V22" s="2">
        <f>Model_1!L22</f>
        <v>50</v>
      </c>
      <c r="W22" s="2">
        <f>Model_2!L22</f>
        <v>50</v>
      </c>
      <c r="X22" s="2">
        <f ca="1">Model_3!L22</f>
        <v>50</v>
      </c>
      <c r="Y22" s="2">
        <f>Model_4!L22</f>
        <v>50</v>
      </c>
      <c r="Z22" s="2">
        <f>Model_1!M22</f>
        <v>109.68001811781048</v>
      </c>
      <c r="AA22" s="2">
        <f>Model_2!M22</f>
        <v>90.16386384611809</v>
      </c>
      <c r="AB22" s="2">
        <f ca="1">Model_3!M22</f>
        <v>93.557004619191048</v>
      </c>
      <c r="AC22" s="2">
        <f>Model_4!M22</f>
        <v>57.191985635603771</v>
      </c>
      <c r="AD22" s="2">
        <f>Model_1!N22</f>
        <v>1.0968001811781047</v>
      </c>
      <c r="AE22" s="2">
        <f>Model_2!N22</f>
        <v>0.90163863846118086</v>
      </c>
      <c r="AF22" s="2">
        <f ca="1">Model_3!N22</f>
        <v>0.93557004619191053</v>
      </c>
      <c r="AG22" s="2">
        <f>Model_4!N22</f>
        <v>0.5719198563560377</v>
      </c>
    </row>
    <row r="23" spans="1:33" x14ac:dyDescent="0.3">
      <c r="A23" s="1">
        <v>21</v>
      </c>
      <c r="B23" s="2">
        <f>Model_1!G23</f>
        <v>2.6957262250902869</v>
      </c>
      <c r="C23" s="2">
        <f>Model_2!G23</f>
        <v>21.519368222285202</v>
      </c>
      <c r="D23" s="2">
        <f ca="1">Model_3!G23</f>
        <v>0</v>
      </c>
      <c r="E23" s="2">
        <f>Model_4!G23</f>
        <v>63.721645136282419</v>
      </c>
      <c r="F23" s="2">
        <f>Model_1!H23</f>
        <v>458.77555668083579</v>
      </c>
      <c r="G23" s="2">
        <f>Model_2!H23</f>
        <v>552.36405309693907</v>
      </c>
      <c r="H23" s="2">
        <f ca="1">Model_3!H23</f>
        <v>550.82446768993066</v>
      </c>
      <c r="I23" s="2">
        <f>Model_4!H23</f>
        <v>343.71137260965128</v>
      </c>
      <c r="J23" s="2">
        <f>Model_1!I23</f>
        <v>0</v>
      </c>
      <c r="K23" s="2">
        <f>Model_2!I23</f>
        <v>0</v>
      </c>
      <c r="L23" s="2">
        <f ca="1">Model_3!I23</f>
        <v>0</v>
      </c>
      <c r="M23" s="2">
        <f>Model_4!I23</f>
        <v>0</v>
      </c>
      <c r="N23" s="2">
        <f>Model_1!J23</f>
        <v>1000</v>
      </c>
      <c r="O23" s="2">
        <f>Model_2!J23</f>
        <v>1600</v>
      </c>
      <c r="P23" s="2">
        <f>Model_3!J23</f>
        <v>1600</v>
      </c>
      <c r="Q23" s="2">
        <f>Model_4!J23</f>
        <v>1600</v>
      </c>
      <c r="R23" s="2">
        <f>Model_1!K23</f>
        <v>2.1797150816726862</v>
      </c>
      <c r="S23" s="2">
        <f>Model_2!K23</f>
        <v>2.8966403425952167</v>
      </c>
      <c r="T23" s="2">
        <f ca="1">Model_3!K23</f>
        <v>2.9047366154777818</v>
      </c>
      <c r="U23" s="2">
        <f>Model_4!K23</f>
        <v>3</v>
      </c>
      <c r="V23" s="2">
        <f>Model_1!L23</f>
        <v>49.999999999999993</v>
      </c>
      <c r="W23" s="2">
        <f>Model_2!L23</f>
        <v>50</v>
      </c>
      <c r="X23" s="2">
        <f ca="1">Model_3!L23</f>
        <v>50</v>
      </c>
      <c r="Y23" s="2">
        <f>Model_4!L23</f>
        <v>77.584475789085019</v>
      </c>
      <c r="Z23" s="2">
        <f>Model_1!M23</f>
        <v>108.98575408363429</v>
      </c>
      <c r="AA23" s="2">
        <f>Model_2!M23</f>
        <v>144.83201712976083</v>
      </c>
      <c r="AB23" s="2">
        <f ca="1">Model_3!M23</f>
        <v>145.2368307738891</v>
      </c>
      <c r="AC23" s="2">
        <f>Model_4!M23</f>
        <v>232.75342736725506</v>
      </c>
      <c r="AD23" s="2">
        <f>Model_1!N23</f>
        <v>1.0898575408363429</v>
      </c>
      <c r="AE23" s="2">
        <f>Model_2!N23</f>
        <v>1.4483201712976084</v>
      </c>
      <c r="AF23" s="2">
        <f ca="1">Model_3!N23</f>
        <v>1.4523683077388909</v>
      </c>
      <c r="AG23" s="2">
        <f>Model_4!N23</f>
        <v>2.3275342736725504</v>
      </c>
    </row>
    <row r="24" spans="1:33" x14ac:dyDescent="0.3">
      <c r="A24" s="1">
        <v>22</v>
      </c>
      <c r="B24" s="2">
        <f>Model_1!G24</f>
        <v>2.5047311840157316</v>
      </c>
      <c r="C24" s="2">
        <f>Model_2!G24</f>
        <v>0</v>
      </c>
      <c r="D24" s="2">
        <f ca="1">Model_3!G24</f>
        <v>0</v>
      </c>
      <c r="E24" s="2">
        <f>Model_4!G24</f>
        <v>46.248620822246181</v>
      </c>
      <c r="F24" s="2">
        <f>Model_1!H24</f>
        <v>461.4712829059261</v>
      </c>
      <c r="G24" s="2">
        <f>Model_2!H24</f>
        <v>573.88342131922423</v>
      </c>
      <c r="H24" s="2">
        <f ca="1">Model_3!H24</f>
        <v>550.82446768993066</v>
      </c>
      <c r="I24" s="2">
        <f>Model_4!H24</f>
        <v>407.43301774593368</v>
      </c>
      <c r="J24" s="2">
        <f>Model_1!I24</f>
        <v>0</v>
      </c>
      <c r="K24" s="2">
        <f>Model_2!I24</f>
        <v>2.9553368527689683</v>
      </c>
      <c r="L24" s="2">
        <f ca="1">Model_3!I24</f>
        <v>2.0329787075972261</v>
      </c>
      <c r="M24" s="2">
        <f>Model_4!I24</f>
        <v>0</v>
      </c>
      <c r="N24" s="2">
        <f>Model_1!J24</f>
        <v>1000</v>
      </c>
      <c r="O24" s="2">
        <f>Model_2!J24</f>
        <v>1000</v>
      </c>
      <c r="P24" s="2">
        <f>Model_3!J24</f>
        <v>1000</v>
      </c>
      <c r="Q24" s="2">
        <f>Model_4!J24</f>
        <v>1600</v>
      </c>
      <c r="R24" s="2">
        <f>Model_1!K24</f>
        <v>2.1669820789343817</v>
      </c>
      <c r="S24" s="2">
        <f>Model_2!K24</f>
        <v>1.7425141811924678</v>
      </c>
      <c r="T24" s="2">
        <f ca="1">Model_3!K24</f>
        <v>1.8154603846736137</v>
      </c>
      <c r="U24" s="2">
        <f>Model_4!K24</f>
        <v>3</v>
      </c>
      <c r="V24" s="2">
        <f>Model_1!L24</f>
        <v>50.000000000000014</v>
      </c>
      <c r="W24" s="2">
        <f>Model_2!L24</f>
        <v>50</v>
      </c>
      <c r="X24" s="2">
        <f ca="1">Model_3!L24</f>
        <v>50</v>
      </c>
      <c r="Y24" s="2">
        <f>Model_4!L24</f>
        <v>65.450431126559849</v>
      </c>
      <c r="Z24" s="2">
        <f>Model_1!M24</f>
        <v>108.34910394671911</v>
      </c>
      <c r="AA24" s="2">
        <f>Model_2!M24</f>
        <v>87.125709059623389</v>
      </c>
      <c r="AB24" s="2">
        <f ca="1">Model_3!M24</f>
        <v>90.773019233680685</v>
      </c>
      <c r="AC24" s="2">
        <f>Model_4!M24</f>
        <v>196.35129337967953</v>
      </c>
      <c r="AD24" s="2">
        <f>Model_1!N24</f>
        <v>1.0834910394671911</v>
      </c>
      <c r="AE24" s="2">
        <f>Model_2!N24</f>
        <v>0.87125709059623391</v>
      </c>
      <c r="AF24" s="2">
        <f ca="1">Model_3!N24</f>
        <v>0.90773019233680685</v>
      </c>
      <c r="AG24" s="2">
        <f>Model_4!N24</f>
        <v>1.9635129337967954</v>
      </c>
    </row>
    <row r="25" spans="1:33" x14ac:dyDescent="0.3">
      <c r="A25" s="1">
        <v>23</v>
      </c>
      <c r="B25" s="2">
        <f>Model_1!G25</f>
        <v>2.3292574281485279</v>
      </c>
      <c r="C25" s="2">
        <f>Model_2!G25</f>
        <v>0</v>
      </c>
      <c r="D25" s="2">
        <f ca="1">Model_3!G25</f>
        <v>14.896855666439947</v>
      </c>
      <c r="E25" s="2">
        <f>Model_4!G25</f>
        <v>36.640851062852093</v>
      </c>
      <c r="F25" s="2">
        <f>Model_1!H25</f>
        <v>463.97601408994183</v>
      </c>
      <c r="G25" s="2">
        <f>Model_2!H25</f>
        <v>570.92808446645529</v>
      </c>
      <c r="H25" s="2">
        <f ca="1">Model_3!H25</f>
        <v>548.79148898233348</v>
      </c>
      <c r="I25" s="2">
        <f>Model_4!H25</f>
        <v>453.68163856817989</v>
      </c>
      <c r="J25" s="2">
        <f>Model_1!I25</f>
        <v>0</v>
      </c>
      <c r="K25" s="2">
        <f>Model_2!I25</f>
        <v>2.8371233786582115</v>
      </c>
      <c r="L25" s="2">
        <f ca="1">Model_3!I25</f>
        <v>1.9516595592933381</v>
      </c>
      <c r="M25" s="2">
        <f>Model_4!I25</f>
        <v>0</v>
      </c>
      <c r="N25" s="2">
        <f>Model_1!J25</f>
        <v>1000</v>
      </c>
      <c r="O25" s="2">
        <f>Model_2!J25</f>
        <v>1000</v>
      </c>
      <c r="P25" s="2">
        <f>Model_3!J25</f>
        <v>1000</v>
      </c>
      <c r="Q25" s="2">
        <f>Model_4!J25</f>
        <v>1600</v>
      </c>
      <c r="R25" s="2">
        <f>Model_1!K25</f>
        <v>2.1552838285432356</v>
      </c>
      <c r="S25" s="2">
        <f>Model_2!K25</f>
        <v>1.7515340849531369</v>
      </c>
      <c r="T25" s="2">
        <f ca="1">Model_3!K25</f>
        <v>1.8221856936126641</v>
      </c>
      <c r="U25" s="2">
        <f>Model_4!K25</f>
        <v>3</v>
      </c>
      <c r="V25" s="2">
        <f>Model_1!L25</f>
        <v>49.999999999999993</v>
      </c>
      <c r="W25" s="2">
        <f>Model_2!L25</f>
        <v>50</v>
      </c>
      <c r="X25" s="2">
        <f ca="1">Model_3!L25</f>
        <v>50</v>
      </c>
      <c r="Y25" s="2">
        <f>Model_4!L25</f>
        <v>58.778368793647282</v>
      </c>
      <c r="Z25" s="2">
        <f>Model_1!M25</f>
        <v>107.76419142716176</v>
      </c>
      <c r="AA25" s="2">
        <f>Model_2!M25</f>
        <v>87.576704247656849</v>
      </c>
      <c r="AB25" s="2">
        <f ca="1">Model_3!M25</f>
        <v>91.109284680633209</v>
      </c>
      <c r="AC25" s="2">
        <f>Model_4!M25</f>
        <v>176.33510638094185</v>
      </c>
      <c r="AD25" s="2">
        <f>Model_1!N25</f>
        <v>1.0776419142716176</v>
      </c>
      <c r="AE25" s="2">
        <f>Model_2!N25</f>
        <v>0.87576704247656845</v>
      </c>
      <c r="AF25" s="2">
        <f ca="1">Model_3!N25</f>
        <v>0.91109284680633207</v>
      </c>
      <c r="AG25" s="2">
        <f>Model_4!N25</f>
        <v>1.7633510638094185</v>
      </c>
    </row>
    <row r="26" spans="1:33" x14ac:dyDescent="0.3">
      <c r="A26" s="1">
        <v>24</v>
      </c>
      <c r="B26" s="2">
        <f>Model_1!G26</f>
        <v>2.16776844740876</v>
      </c>
      <c r="C26" s="2">
        <f>Model_2!G26</f>
        <v>19.59480898353068</v>
      </c>
      <c r="D26" s="2">
        <f ca="1">Model_3!G26</f>
        <v>0</v>
      </c>
      <c r="E26" s="2">
        <f>Model_4!G26</f>
        <v>30.315804010735942</v>
      </c>
      <c r="F26" s="2">
        <f>Model_1!H26</f>
        <v>466.30527151809036</v>
      </c>
      <c r="G26" s="2">
        <f>Model_2!H26</f>
        <v>568.09096108779704</v>
      </c>
      <c r="H26" s="2">
        <f ca="1">Model_3!H26</f>
        <v>561.73668508948003</v>
      </c>
      <c r="I26" s="2">
        <f>Model_4!H26</f>
        <v>490.322489631032</v>
      </c>
      <c r="J26" s="2">
        <f>Model_1!I26</f>
        <v>0</v>
      </c>
      <c r="K26" s="2">
        <f>Model_2!I26</f>
        <v>0</v>
      </c>
      <c r="L26" s="2">
        <f ca="1">Model_3!I26</f>
        <v>0</v>
      </c>
      <c r="M26" s="2">
        <f>Model_4!I26</f>
        <v>0</v>
      </c>
      <c r="N26" s="2">
        <f>Model_1!J26</f>
        <v>1000</v>
      </c>
      <c r="O26" s="2">
        <f>Model_2!J26</f>
        <v>1600</v>
      </c>
      <c r="P26" s="2">
        <f>Model_3!J26</f>
        <v>1600</v>
      </c>
      <c r="Q26" s="2">
        <f>Model_4!J26</f>
        <v>1600</v>
      </c>
      <c r="R26" s="2">
        <f>Model_1!K26</f>
        <v>2.1445178964939169</v>
      </c>
      <c r="S26" s="2">
        <f>Model_2!K26</f>
        <v>2.8164503743137783</v>
      </c>
      <c r="T26" s="2">
        <f ca="1">Model_3!K26</f>
        <v>2.8483096127950644</v>
      </c>
      <c r="U26" s="2">
        <f>Model_4!K26</f>
        <v>3</v>
      </c>
      <c r="V26" s="2">
        <f>Model_1!L26</f>
        <v>50.000000000000014</v>
      </c>
      <c r="W26" s="2">
        <f>Model_2!L26</f>
        <v>50</v>
      </c>
      <c r="X26" s="2">
        <f ca="1">Model_3!L26</f>
        <v>50</v>
      </c>
      <c r="Y26" s="2">
        <f>Model_4!L26</f>
        <v>54.385975007455514</v>
      </c>
      <c r="Z26" s="2">
        <f>Model_1!M26</f>
        <v>107.22589482469587</v>
      </c>
      <c r="AA26" s="2">
        <f>Model_2!M26</f>
        <v>140.82251871568891</v>
      </c>
      <c r="AB26" s="2">
        <f ca="1">Model_3!M26</f>
        <v>142.41548063975321</v>
      </c>
      <c r="AC26" s="2">
        <f>Model_4!M26</f>
        <v>163.15792502236656</v>
      </c>
      <c r="AD26" s="2">
        <f>Model_1!N26</f>
        <v>1.0722589482469587</v>
      </c>
      <c r="AE26" s="2">
        <f>Model_2!N26</f>
        <v>1.4082251871568892</v>
      </c>
      <c r="AF26" s="2">
        <f ca="1">Model_3!N26</f>
        <v>1.4241548063975322</v>
      </c>
      <c r="AG26" s="2">
        <f>Model_4!N26</f>
        <v>1.6315792502236655</v>
      </c>
    </row>
    <row r="27" spans="1:33" x14ac:dyDescent="0.3">
      <c r="A27" s="1">
        <v>25</v>
      </c>
      <c r="B27" s="2">
        <f>Model_1!G27</f>
        <v>2.0189183162059487</v>
      </c>
      <c r="C27" s="2">
        <f>Model_2!G27</f>
        <v>0</v>
      </c>
      <c r="D27" s="2">
        <f ca="1">Model_3!G27</f>
        <v>0</v>
      </c>
      <c r="E27" s="2">
        <f>Model_4!G27</f>
        <v>25.755619724778889</v>
      </c>
      <c r="F27" s="2">
        <f>Model_1!H27</f>
        <v>468.47303996549914</v>
      </c>
      <c r="G27" s="2">
        <f>Model_2!H27</f>
        <v>587.68577007132774</v>
      </c>
      <c r="H27" s="2">
        <f ca="1">Model_3!H27</f>
        <v>561.73668508948003</v>
      </c>
      <c r="I27" s="2">
        <f>Model_4!H27</f>
        <v>520.63829364176797</v>
      </c>
      <c r="J27" s="2">
        <f>Model_1!I27</f>
        <v>0</v>
      </c>
      <c r="K27" s="2">
        <f>Model_2!I27</f>
        <v>3.5074308028531096</v>
      </c>
      <c r="L27" s="2">
        <f ca="1">Model_3!I27</f>
        <v>2.4694674035792015</v>
      </c>
      <c r="M27" s="2">
        <f>Model_4!I27</f>
        <v>0</v>
      </c>
      <c r="N27" s="2">
        <f>Model_1!J27</f>
        <v>1000</v>
      </c>
      <c r="O27" s="2">
        <f>Model_2!J27</f>
        <v>1000</v>
      </c>
      <c r="P27" s="2">
        <f>Model_3!J27</f>
        <v>1000</v>
      </c>
      <c r="Q27" s="2">
        <f>Model_4!J27</f>
        <v>1600</v>
      </c>
      <c r="R27" s="2">
        <f>Model_1!K27</f>
        <v>2.1345945544137295</v>
      </c>
      <c r="S27" s="2">
        <f>Model_2!K27</f>
        <v>1.7015896094925516</v>
      </c>
      <c r="T27" s="2">
        <f ca="1">Model_3!K27</f>
        <v>1.7801935079969153</v>
      </c>
      <c r="U27" s="2">
        <f>Model_4!K27</f>
        <v>3</v>
      </c>
      <c r="V27" s="2">
        <f>Model_1!L27</f>
        <v>50.000000000000014</v>
      </c>
      <c r="W27" s="2">
        <f>Model_2!L27</f>
        <v>50</v>
      </c>
      <c r="X27" s="2">
        <f ca="1">Model_3!L27</f>
        <v>50</v>
      </c>
      <c r="Y27" s="2">
        <f>Model_4!L27</f>
        <v>51.219180364429782</v>
      </c>
      <c r="Z27" s="2">
        <f>Model_1!M27</f>
        <v>106.7297277206865</v>
      </c>
      <c r="AA27" s="2">
        <f>Model_2!M27</f>
        <v>85.079480474627573</v>
      </c>
      <c r="AB27" s="2">
        <f ca="1">Model_3!M27</f>
        <v>89.009675399845761</v>
      </c>
      <c r="AC27" s="2">
        <f>Model_4!M27</f>
        <v>153.65754109328935</v>
      </c>
      <c r="AD27" s="2">
        <f>Model_1!N27</f>
        <v>1.067297277206865</v>
      </c>
      <c r="AE27" s="2">
        <f>Model_2!N27</f>
        <v>0.85079480474627578</v>
      </c>
      <c r="AF27" s="2">
        <f ca="1">Model_3!N27</f>
        <v>0.89009675399845767</v>
      </c>
      <c r="AG27" s="2">
        <f>Model_4!N27</f>
        <v>1.5365754109328935</v>
      </c>
    </row>
    <row r="28" spans="1:33" x14ac:dyDescent="0.3">
      <c r="A28" s="1">
        <v>26</v>
      </c>
      <c r="B28" s="2">
        <f>Model_1!G28</f>
        <v>1.8815225977120975</v>
      </c>
      <c r="C28" s="2">
        <f>Model_2!G28</f>
        <v>0</v>
      </c>
      <c r="D28" s="2">
        <f ca="1">Model_3!G28</f>
        <v>13.571049232166727</v>
      </c>
      <c r="E28" s="2">
        <f>Model_4!G28</f>
        <v>22.278967354161345</v>
      </c>
      <c r="F28" s="2">
        <f>Model_1!H28</f>
        <v>470.49195828170508</v>
      </c>
      <c r="G28" s="2">
        <f>Model_2!H28</f>
        <v>584.17833926847459</v>
      </c>
      <c r="H28" s="2">
        <f ca="1">Model_3!H28</f>
        <v>559.26721768590085</v>
      </c>
      <c r="I28" s="2">
        <f>Model_4!H28</f>
        <v>546.39391336654683</v>
      </c>
      <c r="J28" s="2">
        <f>Model_1!I28</f>
        <v>0</v>
      </c>
      <c r="K28" s="2">
        <f>Model_2!I28</f>
        <v>3.3671335707389831</v>
      </c>
      <c r="L28" s="2">
        <f ca="1">Model_3!I28</f>
        <v>2.3706887074360337</v>
      </c>
      <c r="M28" s="2">
        <f>Model_4!I28</f>
        <v>0</v>
      </c>
      <c r="N28" s="2">
        <f>Model_1!J28</f>
        <v>1000</v>
      </c>
      <c r="O28" s="2">
        <f>Model_2!J28</f>
        <v>1000</v>
      </c>
      <c r="P28" s="2">
        <f>Model_3!J28</f>
        <v>1000</v>
      </c>
      <c r="Q28" s="2">
        <f>Model_4!J28</f>
        <v>1600</v>
      </c>
      <c r="R28" s="2">
        <f>Model_1!K28</f>
        <v>2.1254348398474736</v>
      </c>
      <c r="S28" s="2">
        <f>Model_2!K28</f>
        <v>1.7118060235718935</v>
      </c>
      <c r="T28" s="2">
        <f ca="1">Model_3!K28</f>
        <v>1.7880540256547386</v>
      </c>
      <c r="U28" s="2">
        <f>Model_4!K28</f>
        <v>2.9282903064233889</v>
      </c>
      <c r="V28" s="2">
        <f>Model_1!L28</f>
        <v>49.999999999999993</v>
      </c>
      <c r="W28" s="2">
        <f>Model_2!L28</f>
        <v>50</v>
      </c>
      <c r="X28" s="2">
        <f ca="1">Model_3!L28</f>
        <v>50</v>
      </c>
      <c r="Y28" s="2">
        <f>Model_4!L28</f>
        <v>50</v>
      </c>
      <c r="Z28" s="2">
        <f>Model_1!M28</f>
        <v>106.27174199237366</v>
      </c>
      <c r="AA28" s="2">
        <f>Model_2!M28</f>
        <v>85.590301178594672</v>
      </c>
      <c r="AB28" s="2">
        <f ca="1">Model_3!M28</f>
        <v>89.402701282736928</v>
      </c>
      <c r="AC28" s="2">
        <f>Model_4!M28</f>
        <v>146.41451532116946</v>
      </c>
      <c r="AD28" s="2">
        <f>Model_1!N28</f>
        <v>1.0627174199237366</v>
      </c>
      <c r="AE28" s="2">
        <f>Model_2!N28</f>
        <v>0.85590301178594674</v>
      </c>
      <c r="AF28" s="2">
        <f ca="1">Model_3!N28</f>
        <v>0.89402701282736929</v>
      </c>
      <c r="AG28" s="2">
        <f>Model_4!N28</f>
        <v>1.4641451532116947</v>
      </c>
    </row>
    <row r="29" spans="1:33" x14ac:dyDescent="0.3">
      <c r="A29" s="1">
        <v>27</v>
      </c>
      <c r="B29" s="2">
        <f>Model_1!G29</f>
        <v>1.7545345095887166</v>
      </c>
      <c r="C29" s="2">
        <f>Model_2!G29</f>
        <v>18.114426896894326</v>
      </c>
      <c r="D29" s="2">
        <f ca="1">Model_3!G29</f>
        <v>0</v>
      </c>
      <c r="E29" s="2">
        <f>Model_4!G29</f>
        <v>19.525639610831668</v>
      </c>
      <c r="F29" s="2">
        <f>Model_1!H29</f>
        <v>472.37348087941717</v>
      </c>
      <c r="G29" s="2">
        <f>Model_2!H29</f>
        <v>580.81120569773566</v>
      </c>
      <c r="H29" s="2">
        <f ca="1">Model_3!H29</f>
        <v>570.46757821063159</v>
      </c>
      <c r="I29" s="2">
        <f>Model_4!H29</f>
        <v>568.67288072070812</v>
      </c>
      <c r="J29" s="2">
        <f>Model_1!I29</f>
        <v>0</v>
      </c>
      <c r="K29" s="2">
        <f>Model_2!I29</f>
        <v>0</v>
      </c>
      <c r="L29" s="2">
        <f ca="1">Model_3!I29</f>
        <v>0</v>
      </c>
      <c r="M29" s="2">
        <f>Model_4!I29</f>
        <v>0</v>
      </c>
      <c r="N29" s="2">
        <f>Model_1!J29</f>
        <v>1000</v>
      </c>
      <c r="O29" s="2">
        <f>Model_2!J29</f>
        <v>1600</v>
      </c>
      <c r="P29" s="2">
        <f>Model_3!J29</f>
        <v>1600</v>
      </c>
      <c r="Q29" s="2">
        <f>Model_4!J29</f>
        <v>1600</v>
      </c>
      <c r="R29" s="2">
        <f>Model_1!K29</f>
        <v>2.1169689673059149</v>
      </c>
      <c r="S29" s="2">
        <f>Model_2!K29</f>
        <v>2.7547677873705969</v>
      </c>
      <c r="T29" s="2">
        <f ca="1">Model_3!K29</f>
        <v>2.8047167991889594</v>
      </c>
      <c r="U29" s="2">
        <f>Model_4!K29</f>
        <v>2.8135683171179862</v>
      </c>
      <c r="V29" s="2">
        <f>Model_1!L29</f>
        <v>49.999999999999993</v>
      </c>
      <c r="W29" s="2">
        <f>Model_2!L29</f>
        <v>50</v>
      </c>
      <c r="X29" s="2">
        <f ca="1">Model_3!L29</f>
        <v>50</v>
      </c>
      <c r="Y29" s="2">
        <f>Model_4!L29</f>
        <v>50</v>
      </c>
      <c r="Z29" s="2">
        <f>Model_1!M29</f>
        <v>105.84844836529572</v>
      </c>
      <c r="AA29" s="2">
        <f>Model_2!M29</f>
        <v>137.73838936852985</v>
      </c>
      <c r="AB29" s="2">
        <f ca="1">Model_3!M29</f>
        <v>140.23583995944796</v>
      </c>
      <c r="AC29" s="2">
        <f>Model_4!M29</f>
        <v>140.67841585589932</v>
      </c>
      <c r="AD29" s="2">
        <f>Model_1!N29</f>
        <v>1.0584844836529572</v>
      </c>
      <c r="AE29" s="2">
        <f>Model_2!N29</f>
        <v>1.3773838936852985</v>
      </c>
      <c r="AF29" s="2">
        <f ca="1">Model_3!N29</f>
        <v>1.4023583995944795</v>
      </c>
      <c r="AG29" s="2">
        <f>Model_4!N29</f>
        <v>1.4067841585589931</v>
      </c>
    </row>
    <row r="30" spans="1:33" x14ac:dyDescent="0.3">
      <c r="A30" s="1">
        <v>28</v>
      </c>
      <c r="B30" s="2">
        <f>Model_1!G30</f>
        <v>1.6370252614012037</v>
      </c>
      <c r="C30" s="2">
        <f>Model_2!G30</f>
        <v>0</v>
      </c>
      <c r="D30" s="2">
        <f ca="1">Model_3!G30</f>
        <v>0</v>
      </c>
      <c r="E30" s="2">
        <f>Model_4!G30</f>
        <v>17.284081262828966</v>
      </c>
      <c r="F30" s="2">
        <f>Model_1!H30</f>
        <v>474.1280153890059</v>
      </c>
      <c r="G30" s="2">
        <f>Model_2!H30</f>
        <v>598.92563259462997</v>
      </c>
      <c r="H30" s="2">
        <f ca="1">Model_3!H30</f>
        <v>570.46757821063159</v>
      </c>
      <c r="I30" s="2">
        <f>Model_4!H30</f>
        <v>588.19852033153984</v>
      </c>
      <c r="J30" s="2">
        <f>Model_1!I30</f>
        <v>0</v>
      </c>
      <c r="K30" s="2">
        <f>Model_2!I30</f>
        <v>15.957025303785201</v>
      </c>
      <c r="L30" s="2">
        <f ca="1">Model_3!I30</f>
        <v>14.818703128425263</v>
      </c>
      <c r="M30" s="2">
        <f>Model_4!I30</f>
        <v>0</v>
      </c>
      <c r="N30" s="2">
        <f>Model_1!J30</f>
        <v>1000</v>
      </c>
      <c r="O30" s="2">
        <f>Model_2!J30</f>
        <v>400</v>
      </c>
      <c r="P30" s="2">
        <f>Model_3!J30</f>
        <v>400</v>
      </c>
      <c r="Q30" s="2">
        <f>Model_4!J30</f>
        <v>1600</v>
      </c>
      <c r="R30" s="2">
        <f>Model_1!K30</f>
        <v>2.1091350174267474</v>
      </c>
      <c r="S30" s="2">
        <f>Model_2!K30</f>
        <v>0.66786254959091296</v>
      </c>
      <c r="T30" s="2">
        <f ca="1">Model_3!K30</f>
        <v>0.70117919979723986</v>
      </c>
      <c r="U30" s="2">
        <f>Model_4!K30</f>
        <v>2.7201700526178736</v>
      </c>
      <c r="V30" s="2">
        <f>Model_1!L30</f>
        <v>49.999999999999993</v>
      </c>
      <c r="W30" s="2">
        <f>Model_2!L30</f>
        <v>50</v>
      </c>
      <c r="X30" s="2">
        <f ca="1">Model_3!L30</f>
        <v>50</v>
      </c>
      <c r="Y30" s="2">
        <f>Model_4!L30</f>
        <v>49.999999999999993</v>
      </c>
      <c r="Z30" s="2">
        <f>Model_1!M30</f>
        <v>105.45675087133735</v>
      </c>
      <c r="AA30" s="2">
        <f>Model_2!M30</f>
        <v>33.393127479545647</v>
      </c>
      <c r="AB30" s="2">
        <f ca="1">Model_3!M30</f>
        <v>35.058959989861989</v>
      </c>
      <c r="AC30" s="2">
        <f>Model_4!M30</f>
        <v>136.00850263089367</v>
      </c>
      <c r="AD30" s="2">
        <f>Model_1!N30</f>
        <v>1.0545675087133735</v>
      </c>
      <c r="AE30" s="2">
        <f>Model_2!N30</f>
        <v>0.33393127479545648</v>
      </c>
      <c r="AF30" s="2">
        <f ca="1">Model_3!N30</f>
        <v>0.35058959989861987</v>
      </c>
      <c r="AG30" s="2">
        <f>Model_4!N30</f>
        <v>1.3600850263089368</v>
      </c>
    </row>
    <row r="31" spans="1:33" x14ac:dyDescent="0.3">
      <c r="A31" s="1">
        <v>29</v>
      </c>
      <c r="B31" s="2">
        <f>Model_1!G31</f>
        <v>1.5281677264345728</v>
      </c>
      <c r="C31" s="2">
        <f>Model_2!G31</f>
        <v>0</v>
      </c>
      <c r="D31" s="2">
        <f ca="1">Model_3!G31</f>
        <v>12.724644191925966</v>
      </c>
      <c r="E31" s="2">
        <f>Model_4!G31</f>
        <v>15.420484583511335</v>
      </c>
      <c r="F31" s="2">
        <f>Model_1!H31</f>
        <v>475.76504065040712</v>
      </c>
      <c r="G31" s="2">
        <f>Model_2!H31</f>
        <v>582.96860729084483</v>
      </c>
      <c r="H31" s="2">
        <f ca="1">Model_3!H31</f>
        <v>555.64887508220636</v>
      </c>
      <c r="I31" s="2">
        <f>Model_4!H31</f>
        <v>605.48260159436882</v>
      </c>
      <c r="J31" s="2">
        <f>Model_1!I31</f>
        <v>0</v>
      </c>
      <c r="K31" s="2">
        <f>Model_2!I31</f>
        <v>3.3187442916337924</v>
      </c>
      <c r="L31" s="2">
        <f ca="1">Model_3!I31</f>
        <v>2.2259550032882482</v>
      </c>
      <c r="M31" s="2">
        <f>Model_4!I31</f>
        <v>0</v>
      </c>
      <c r="N31" s="2">
        <f>Model_1!J31</f>
        <v>1000</v>
      </c>
      <c r="O31" s="2">
        <f>Model_2!J31</f>
        <v>1000</v>
      </c>
      <c r="P31" s="2">
        <f>Model_3!J31</f>
        <v>1000</v>
      </c>
      <c r="Q31" s="2">
        <f>Model_4!J31</f>
        <v>1600</v>
      </c>
      <c r="R31" s="2">
        <f>Model_1!K31</f>
        <v>2.101877848428972</v>
      </c>
      <c r="S31" s="2">
        <f>Model_2!K31</f>
        <v>1.7153582328337913</v>
      </c>
      <c r="T31" s="2">
        <f ca="1">Model_3!K31</f>
        <v>1.7996976955132922</v>
      </c>
      <c r="U31" s="2">
        <f>Model_4!K31</f>
        <v>2.6425201909796385</v>
      </c>
      <c r="V31" s="2">
        <f>Model_1!L31</f>
        <v>49.999999999999993</v>
      </c>
      <c r="W31" s="2">
        <f>Model_2!L31</f>
        <v>50</v>
      </c>
      <c r="X31" s="2">
        <f ca="1">Model_3!L31</f>
        <v>50.000000000000014</v>
      </c>
      <c r="Y31" s="2">
        <f>Model_4!L31</f>
        <v>50.000000000000014</v>
      </c>
      <c r="Z31" s="2">
        <f>Model_1!M31</f>
        <v>105.09389242144859</v>
      </c>
      <c r="AA31" s="2">
        <f>Model_2!M31</f>
        <v>85.767911641689565</v>
      </c>
      <c r="AB31" s="2">
        <f ca="1">Model_3!M31</f>
        <v>89.984884775664639</v>
      </c>
      <c r="AC31" s="2">
        <f>Model_4!M31</f>
        <v>132.12600954898195</v>
      </c>
      <c r="AD31" s="2">
        <f>Model_1!N31</f>
        <v>1.0509389242144858</v>
      </c>
      <c r="AE31" s="2">
        <f>Model_2!N31</f>
        <v>0.85767911641689565</v>
      </c>
      <c r="AF31" s="2">
        <f ca="1">Model_3!N31</f>
        <v>0.89984884775664642</v>
      </c>
      <c r="AG31" s="2">
        <f>Model_4!N31</f>
        <v>1.3212600954898195</v>
      </c>
    </row>
    <row r="32" spans="1:33" x14ac:dyDescent="0.3">
      <c r="A32" s="1">
        <v>30</v>
      </c>
      <c r="B32" s="2">
        <f>Model_1!G32</f>
        <v>1.4272227987726005</v>
      </c>
      <c r="C32" s="2">
        <f>Model_2!G32</f>
        <v>18.246888770596108</v>
      </c>
      <c r="D32" s="2">
        <f ca="1">Model_3!G32</f>
        <v>0</v>
      </c>
      <c r="E32" s="2">
        <f>Model_4!G32</f>
        <v>13.845400441444948</v>
      </c>
      <c r="F32" s="2">
        <f>Model_1!H32</f>
        <v>477.29320837684168</v>
      </c>
      <c r="G32" s="2">
        <f>Model_2!H32</f>
        <v>579.649862999211</v>
      </c>
      <c r="H32" s="2">
        <f ca="1">Model_3!H32</f>
        <v>566.1475642708441</v>
      </c>
      <c r="I32" s="2">
        <f>Model_4!H32</f>
        <v>620.90308617788014</v>
      </c>
      <c r="J32" s="2">
        <f>Model_1!I32</f>
        <v>0</v>
      </c>
      <c r="K32" s="2">
        <f>Model_2!I32</f>
        <v>0</v>
      </c>
      <c r="L32" s="2">
        <f ca="1">Model_3!I32</f>
        <v>0</v>
      </c>
      <c r="M32" s="2">
        <f>Model_4!I32</f>
        <v>0</v>
      </c>
      <c r="N32" s="2">
        <f>Model_1!J32</f>
        <v>1000</v>
      </c>
      <c r="O32" s="2">
        <f>Model_2!J32</f>
        <v>1600</v>
      </c>
      <c r="P32" s="2">
        <f>Model_3!J32</f>
        <v>1600</v>
      </c>
      <c r="Q32" s="2">
        <f>Model_4!J32</f>
        <v>1600</v>
      </c>
      <c r="R32" s="2">
        <f>Model_1!K32</f>
        <v>2.09514818658484</v>
      </c>
      <c r="S32" s="2">
        <f>Model_2!K32</f>
        <v>2.7602870321081707</v>
      </c>
      <c r="T32" s="2">
        <f ca="1">Model_3!K32</f>
        <v>2.8261183143314956</v>
      </c>
      <c r="U32" s="2">
        <f>Model_4!K32</f>
        <v>2.5768916850602062</v>
      </c>
      <c r="V32" s="2">
        <f>Model_1!L32</f>
        <v>50</v>
      </c>
      <c r="W32" s="2">
        <f>Model_2!L32</f>
        <v>50.000000000000014</v>
      </c>
      <c r="X32" s="2">
        <f ca="1">Model_3!L32</f>
        <v>50</v>
      </c>
      <c r="Y32" s="2">
        <f>Model_4!L32</f>
        <v>50</v>
      </c>
      <c r="Z32" s="2">
        <f>Model_1!M32</f>
        <v>104.75740932924199</v>
      </c>
      <c r="AA32" s="2">
        <f>Model_2!M32</f>
        <v>138.01435160540856</v>
      </c>
      <c r="AB32" s="2">
        <f ca="1">Model_3!M32</f>
        <v>141.30591571657479</v>
      </c>
      <c r="AC32" s="2">
        <f>Model_4!M32</f>
        <v>128.84458425301031</v>
      </c>
      <c r="AD32" s="2">
        <f>Model_1!N32</f>
        <v>1.04757409329242</v>
      </c>
      <c r="AE32" s="2">
        <f>Model_2!N32</f>
        <v>1.3801435160540856</v>
      </c>
      <c r="AF32" s="2">
        <f ca="1">Model_3!N32</f>
        <v>1.4130591571657478</v>
      </c>
      <c r="AG32" s="2">
        <f>Model_4!N32</f>
        <v>1.2884458425301031</v>
      </c>
    </row>
    <row r="33" spans="1:33" x14ac:dyDescent="0.3">
      <c r="A33" s="1">
        <v>31</v>
      </c>
      <c r="B33" s="2">
        <f>Model_1!G33</f>
        <v>1.3335279281142376</v>
      </c>
      <c r="C33" s="2">
        <f>Model_2!G33</f>
        <v>0</v>
      </c>
      <c r="D33" s="2">
        <f ca="1">Model_3!G33</f>
        <v>0</v>
      </c>
      <c r="E33" s="2">
        <f>Model_4!G33</f>
        <v>0</v>
      </c>
      <c r="F33" s="2">
        <f>Model_1!H33</f>
        <v>478.72043117561429</v>
      </c>
      <c r="G33" s="2">
        <f>Model_2!H33</f>
        <v>597.89675176980711</v>
      </c>
      <c r="H33" s="2">
        <f ca="1">Model_3!H33</f>
        <v>566.1475642708441</v>
      </c>
      <c r="I33" s="2">
        <f>Model_4!H33</f>
        <v>634.74848661932504</v>
      </c>
      <c r="J33" s="2">
        <f>Model_1!I33</f>
        <v>0</v>
      </c>
      <c r="K33" s="2">
        <f>Model_2!I33</f>
        <v>3.9158700707922822</v>
      </c>
      <c r="L33" s="2">
        <f ca="1">Model_3!I33</f>
        <v>2.6459025708337647</v>
      </c>
      <c r="M33" s="2">
        <f>Model_4!I33</f>
        <v>17.389939464773004</v>
      </c>
      <c r="N33" s="2">
        <f>Model_1!J33</f>
        <v>1000</v>
      </c>
      <c r="O33" s="2">
        <f>Model_2!J33</f>
        <v>1000</v>
      </c>
      <c r="P33" s="2">
        <f>Model_3!J33</f>
        <v>1000</v>
      </c>
      <c r="Q33" s="2">
        <f>Model_4!J33</f>
        <v>400</v>
      </c>
      <c r="R33" s="2">
        <f>Model_1!K33</f>
        <v>2.0889018618742825</v>
      </c>
      <c r="S33" s="2">
        <f>Model_2!K33</f>
        <v>1.6725295747801694</v>
      </c>
      <c r="T33" s="2">
        <f ca="1">Model_3!K33</f>
        <v>1.7663239464571847</v>
      </c>
      <c r="U33" s="2">
        <f>Model_4!K33</f>
        <v>0.63017086047798687</v>
      </c>
      <c r="V33" s="2">
        <f>Model_1!L33</f>
        <v>50</v>
      </c>
      <c r="W33" s="2">
        <f>Model_2!L33</f>
        <v>50</v>
      </c>
      <c r="X33" s="2">
        <f ca="1">Model_3!L33</f>
        <v>50</v>
      </c>
      <c r="Y33" s="2">
        <f>Model_4!L33</f>
        <v>50</v>
      </c>
      <c r="Z33" s="2">
        <f>Model_1!M33</f>
        <v>104.44509309371412</v>
      </c>
      <c r="AA33" s="2">
        <f>Model_2!M33</f>
        <v>83.626478739008476</v>
      </c>
      <c r="AB33" s="2">
        <f ca="1">Model_3!M33</f>
        <v>88.316197322859239</v>
      </c>
      <c r="AC33" s="2">
        <f>Model_4!M33</f>
        <v>31.508543023899342</v>
      </c>
      <c r="AD33" s="2">
        <f>Model_1!N33</f>
        <v>1.0444509309371413</v>
      </c>
      <c r="AE33" s="2">
        <f>Model_2!N33</f>
        <v>0.83626478739008481</v>
      </c>
      <c r="AF33" s="2">
        <f ca="1">Model_3!N33</f>
        <v>0.88316197322859236</v>
      </c>
      <c r="AG33" s="2">
        <f>Model_4!N33</f>
        <v>0.31508543023899344</v>
      </c>
    </row>
    <row r="34" spans="1:33" x14ac:dyDescent="0.3">
      <c r="A34" s="1">
        <v>32</v>
      </c>
      <c r="B34" s="2">
        <f>Model_1!G34</f>
        <v>1.2464874323822595</v>
      </c>
      <c r="C34" s="2">
        <f>Model_2!G34</f>
        <v>0</v>
      </c>
      <c r="D34" s="2">
        <f ca="1">Model_3!G34</f>
        <v>12.070751987834385</v>
      </c>
      <c r="E34" s="2">
        <f>Model_4!G34</f>
        <v>0</v>
      </c>
      <c r="F34" s="2">
        <f>Model_1!H34</f>
        <v>480.05395910372852</v>
      </c>
      <c r="G34" s="2">
        <f>Model_2!H34</f>
        <v>593.98088169901484</v>
      </c>
      <c r="H34" s="2">
        <f ca="1">Model_3!H34</f>
        <v>563.50166170001035</v>
      </c>
      <c r="I34" s="2">
        <f>Model_4!H34</f>
        <v>617.35854715455207</v>
      </c>
      <c r="J34" s="2">
        <f>Model_1!I34</f>
        <v>0</v>
      </c>
      <c r="K34" s="2">
        <f>Model_2!I34</f>
        <v>3.7592352679605976</v>
      </c>
      <c r="L34" s="2">
        <f ca="1">Model_3!I34</f>
        <v>2.540066468000417</v>
      </c>
      <c r="M34" s="2">
        <f>Model_4!I34</f>
        <v>16.694341886182084</v>
      </c>
      <c r="N34" s="2">
        <f>Model_1!J34</f>
        <v>1000</v>
      </c>
      <c r="O34" s="2">
        <f>Model_2!J34</f>
        <v>1000</v>
      </c>
      <c r="P34" s="2">
        <f>Model_3!J34</f>
        <v>1000</v>
      </c>
      <c r="Q34" s="2">
        <f>Model_4!J34</f>
        <v>400</v>
      </c>
      <c r="R34" s="2">
        <f>Model_1!K34</f>
        <v>2.0830991621588173</v>
      </c>
      <c r="S34" s="2">
        <f>Model_2!K34</f>
        <v>1.6835558699121991</v>
      </c>
      <c r="T34" s="2">
        <f ca="1">Model_3!K34</f>
        <v>1.7746176594814851</v>
      </c>
      <c r="U34" s="2">
        <f>Model_4!K34</f>
        <v>0.64792170100118884</v>
      </c>
      <c r="V34" s="2">
        <f>Model_1!L34</f>
        <v>50</v>
      </c>
      <c r="W34" s="2">
        <f>Model_2!L34</f>
        <v>50</v>
      </c>
      <c r="X34" s="2">
        <f ca="1">Model_3!L34</f>
        <v>50</v>
      </c>
      <c r="Y34" s="2">
        <f>Model_4!L34</f>
        <v>49.999999999999993</v>
      </c>
      <c r="Z34" s="2">
        <f>Model_1!M34</f>
        <v>104.15495810794087</v>
      </c>
      <c r="AA34" s="2">
        <f>Model_2!M34</f>
        <v>84.177793495609947</v>
      </c>
      <c r="AB34" s="2">
        <f ca="1">Model_3!M34</f>
        <v>88.730882974074248</v>
      </c>
      <c r="AC34" s="2">
        <f>Model_4!M34</f>
        <v>32.39608505005944</v>
      </c>
      <c r="AD34" s="2">
        <f>Model_1!N34</f>
        <v>1.0415495810794086</v>
      </c>
      <c r="AE34" s="2">
        <f>Model_2!N34</f>
        <v>0.84177793495609943</v>
      </c>
      <c r="AF34" s="2">
        <f ca="1">Model_3!N34</f>
        <v>0.88730882974074243</v>
      </c>
      <c r="AG34" s="2">
        <f>Model_4!N34</f>
        <v>0.32396085050059442</v>
      </c>
    </row>
    <row r="35" spans="1:33" x14ac:dyDescent="0.3">
      <c r="A35" s="1">
        <v>33</v>
      </c>
      <c r="B35" s="2">
        <f>Model_1!G35</f>
        <v>1.1655642706215263</v>
      </c>
      <c r="C35" s="2">
        <f>Model_2!G35</f>
        <v>17.060304433422079</v>
      </c>
      <c r="D35" s="2">
        <f ca="1">Model_3!G35</f>
        <v>0</v>
      </c>
      <c r="E35" s="2">
        <f>Model_4!G35</f>
        <v>0</v>
      </c>
      <c r="F35" s="2">
        <f>Model_1!H35</f>
        <v>481.30044653611077</v>
      </c>
      <c r="G35" s="2">
        <f>Model_2!H35</f>
        <v>590.2216464310543</v>
      </c>
      <c r="H35" s="2">
        <f ca="1">Model_3!H35</f>
        <v>573.03234721984427</v>
      </c>
      <c r="I35" s="2">
        <f>Model_4!H35</f>
        <v>600.66420526836998</v>
      </c>
      <c r="J35" s="2">
        <f>Model_1!I35</f>
        <v>0</v>
      </c>
      <c r="K35" s="2">
        <f>Model_2!I35</f>
        <v>0</v>
      </c>
      <c r="L35" s="2">
        <f ca="1">Model_3!I35</f>
        <v>0</v>
      </c>
      <c r="M35" s="2">
        <f>Model_4!I35</f>
        <v>16.026568210734801</v>
      </c>
      <c r="N35" s="2">
        <f>Model_1!J35</f>
        <v>1000</v>
      </c>
      <c r="O35" s="2">
        <f>Model_2!J35</f>
        <v>1600</v>
      </c>
      <c r="P35" s="2">
        <f>Model_3!J35</f>
        <v>1600</v>
      </c>
      <c r="Q35" s="2">
        <f>Model_4!J35</f>
        <v>400</v>
      </c>
      <c r="R35" s="2">
        <f>Model_1!K35</f>
        <v>2.0777042847081018</v>
      </c>
      <c r="S35" s="2">
        <f>Model_2!K35</f>
        <v>2.7108460180592533</v>
      </c>
      <c r="T35" s="2">
        <f ca="1">Model_3!K35</f>
        <v>2.7921634926241938</v>
      </c>
      <c r="U35" s="2">
        <f>Model_4!K35</f>
        <v>0.6659294768884797</v>
      </c>
      <c r="V35" s="2">
        <f>Model_1!L35</f>
        <v>50</v>
      </c>
      <c r="W35" s="2">
        <f>Model_2!L35</f>
        <v>50</v>
      </c>
      <c r="X35" s="2">
        <f ca="1">Model_3!L35</f>
        <v>49.999999999999993</v>
      </c>
      <c r="Y35" s="2">
        <f>Model_4!L35</f>
        <v>50</v>
      </c>
      <c r="Z35" s="2">
        <f>Model_1!M35</f>
        <v>103.88521423540509</v>
      </c>
      <c r="AA35" s="2">
        <f>Model_2!M35</f>
        <v>135.54230090296267</v>
      </c>
      <c r="AB35" s="2">
        <f ca="1">Model_3!M35</f>
        <v>139.60817463120966</v>
      </c>
      <c r="AC35" s="2">
        <f>Model_4!M35</f>
        <v>33.296473844423986</v>
      </c>
      <c r="AD35" s="2">
        <f>Model_1!N35</f>
        <v>1.0388521423540509</v>
      </c>
      <c r="AE35" s="2">
        <f>Model_2!N35</f>
        <v>1.3554230090296266</v>
      </c>
      <c r="AF35" s="2">
        <f ca="1">Model_3!N35</f>
        <v>1.3960817463120967</v>
      </c>
      <c r="AG35" s="2">
        <f>Model_4!N35</f>
        <v>0.33296473844423985</v>
      </c>
    </row>
    <row r="36" spans="1:33" x14ac:dyDescent="0.3">
      <c r="A36" s="1">
        <v>34</v>
      </c>
      <c r="B36" s="2">
        <f>Model_1!G36</f>
        <v>1.090273022380317</v>
      </c>
      <c r="C36" s="2">
        <f>Model_2!G36</f>
        <v>0</v>
      </c>
      <c r="D36" s="2">
        <f ca="1">Model_3!G36</f>
        <v>0</v>
      </c>
      <c r="E36" s="2">
        <f>Model_4!G36</f>
        <v>0</v>
      </c>
      <c r="F36" s="2">
        <f>Model_1!H36</f>
        <v>482.4660108067323</v>
      </c>
      <c r="G36" s="2">
        <f>Model_2!H36</f>
        <v>607.28195086447636</v>
      </c>
      <c r="H36" s="2">
        <f ca="1">Model_3!H36</f>
        <v>573.03234721984427</v>
      </c>
      <c r="I36" s="2">
        <f>Model_4!H36</f>
        <v>584.63763705763517</v>
      </c>
      <c r="J36" s="2">
        <f>Model_1!I36</f>
        <v>0</v>
      </c>
      <c r="K36" s="2">
        <f>Model_2!I36</f>
        <v>4.2912780345790571</v>
      </c>
      <c r="L36" s="2">
        <f ca="1">Model_3!I36</f>
        <v>2.9212938887937709</v>
      </c>
      <c r="M36" s="2">
        <f>Model_4!I36</f>
        <v>15.38550548230541</v>
      </c>
      <c r="N36" s="2">
        <f>Model_1!J36</f>
        <v>1000</v>
      </c>
      <c r="O36" s="2">
        <f>Model_2!J36</f>
        <v>1000</v>
      </c>
      <c r="P36" s="2">
        <f>Model_3!J36</f>
        <v>1000</v>
      </c>
      <c r="Q36" s="2">
        <f>Model_4!J36</f>
        <v>400</v>
      </c>
      <c r="R36" s="2">
        <f>Model_1!K36</f>
        <v>2.0726848681586878</v>
      </c>
      <c r="S36" s="2">
        <f>Model_2!K36</f>
        <v>1.6466815761220677</v>
      </c>
      <c r="T36" s="2">
        <f ca="1">Model_3!K36</f>
        <v>1.745102182890121</v>
      </c>
      <c r="U36" s="2">
        <f>Model_4!K36</f>
        <v>0.68418448393627262</v>
      </c>
      <c r="V36" s="2">
        <f>Model_1!L36</f>
        <v>50</v>
      </c>
      <c r="W36" s="2">
        <f>Model_2!L36</f>
        <v>50</v>
      </c>
      <c r="X36" s="2">
        <f ca="1">Model_3!L36</f>
        <v>50</v>
      </c>
      <c r="Y36" s="2">
        <f>Model_4!L36</f>
        <v>50</v>
      </c>
      <c r="Z36" s="2">
        <f>Model_1!M36</f>
        <v>103.63424340793439</v>
      </c>
      <c r="AA36" s="2">
        <f>Model_2!M36</f>
        <v>82.334078806103378</v>
      </c>
      <c r="AB36" s="2">
        <f ca="1">Model_3!M36</f>
        <v>87.255109144506051</v>
      </c>
      <c r="AC36" s="2">
        <f>Model_4!M36</f>
        <v>34.209224196813629</v>
      </c>
      <c r="AD36" s="2">
        <f>Model_1!N36</f>
        <v>1.0363424340793439</v>
      </c>
      <c r="AE36" s="2">
        <f>Model_2!N36</f>
        <v>0.82334078806103372</v>
      </c>
      <c r="AF36" s="2">
        <f ca="1">Model_3!N36</f>
        <v>0.87255109144506049</v>
      </c>
      <c r="AG36" s="2">
        <f>Model_4!N36</f>
        <v>0.34209224196813631</v>
      </c>
    </row>
    <row r="37" spans="1:33" x14ac:dyDescent="0.3">
      <c r="A37" s="1">
        <v>35</v>
      </c>
      <c r="B37" s="2">
        <f>Model_1!G37</f>
        <v>1.0201738693586249</v>
      </c>
      <c r="C37" s="2">
        <f>Model_2!G37</f>
        <v>0</v>
      </c>
      <c r="D37" s="2">
        <f ca="1">Model_3!G37</f>
        <v>4.9567098859889738</v>
      </c>
      <c r="E37" s="2">
        <f>Model_4!G37</f>
        <v>0</v>
      </c>
      <c r="F37" s="2">
        <f>Model_1!H37</f>
        <v>483.5562838291126</v>
      </c>
      <c r="G37" s="2">
        <f>Model_2!H37</f>
        <v>602.99067282989733</v>
      </c>
      <c r="H37" s="2">
        <f ca="1">Model_3!H37</f>
        <v>570.11105333105047</v>
      </c>
      <c r="I37" s="2">
        <f>Model_4!H37</f>
        <v>569.25213157532971</v>
      </c>
      <c r="J37" s="2">
        <f>Model_1!I37</f>
        <v>0</v>
      </c>
      <c r="K37" s="2">
        <f>Model_2!I37</f>
        <v>16.119626913195894</v>
      </c>
      <c r="L37" s="2">
        <f ca="1">Model_3!I37</f>
        <v>14.804442133242018</v>
      </c>
      <c r="M37" s="2">
        <f>Model_4!I37</f>
        <v>14.770085263013192</v>
      </c>
      <c r="N37" s="2">
        <f>Model_1!J37</f>
        <v>1000</v>
      </c>
      <c r="O37" s="2">
        <f>Model_2!J37</f>
        <v>400</v>
      </c>
      <c r="P37" s="2">
        <f>Model_3!J37</f>
        <v>400</v>
      </c>
      <c r="Q37" s="2">
        <f>Model_4!J37</f>
        <v>400</v>
      </c>
      <c r="R37" s="2">
        <f>Model_1!K37</f>
        <v>2.068011591290575</v>
      </c>
      <c r="S37" s="2">
        <f>Model_2!K37</f>
        <v>0.66336017789920165</v>
      </c>
      <c r="T37" s="2">
        <f ca="1">Model_3!K37</f>
        <v>0.70161768950606385</v>
      </c>
      <c r="U37" s="2">
        <f>Model_4!K37</f>
        <v>0.70267633235391336</v>
      </c>
      <c r="V37" s="2">
        <f>Model_1!L37</f>
        <v>49.999999999999993</v>
      </c>
      <c r="W37" s="2">
        <f>Model_2!L37</f>
        <v>50</v>
      </c>
      <c r="X37" s="2">
        <f ca="1">Model_3!L37</f>
        <v>50</v>
      </c>
      <c r="Y37" s="2">
        <f>Model_4!L37</f>
        <v>50</v>
      </c>
      <c r="Z37" s="2">
        <f>Model_1!M37</f>
        <v>103.40057956452874</v>
      </c>
      <c r="AA37" s="2">
        <f>Model_2!M37</f>
        <v>33.168008894960082</v>
      </c>
      <c r="AB37" s="2">
        <f ca="1">Model_3!M37</f>
        <v>35.080884475303193</v>
      </c>
      <c r="AC37" s="2">
        <f>Model_4!M37</f>
        <v>35.133816617695665</v>
      </c>
      <c r="AD37" s="2">
        <f>Model_1!N37</f>
        <v>1.0340057956452875</v>
      </c>
      <c r="AE37" s="2">
        <f>Model_2!N37</f>
        <v>0.33168008894960083</v>
      </c>
      <c r="AF37" s="2">
        <f ca="1">Model_3!N37</f>
        <v>0.35080884475303192</v>
      </c>
      <c r="AG37" s="2">
        <f>Model_4!N37</f>
        <v>0.35133816617695662</v>
      </c>
    </row>
    <row r="38" spans="1:33" x14ac:dyDescent="0.3">
      <c r="A38" s="1">
        <v>36</v>
      </c>
      <c r="B38" s="2">
        <f>Model_1!G38</f>
        <v>0.95486741399596564</v>
      </c>
      <c r="C38" s="2">
        <f>Model_2!G38</f>
        <v>17.43175075202188</v>
      </c>
      <c r="D38" s="2">
        <f ca="1">Model_3!G38</f>
        <v>0</v>
      </c>
      <c r="E38" s="2">
        <f>Model_4!G38</f>
        <v>0</v>
      </c>
      <c r="F38" s="2">
        <f>Model_1!H38</f>
        <v>484.57645769847124</v>
      </c>
      <c r="G38" s="2">
        <f>Model_2!H38</f>
        <v>586.87104591670141</v>
      </c>
      <c r="H38" s="2">
        <f ca="1">Model_3!H38</f>
        <v>560.26332108379745</v>
      </c>
      <c r="I38" s="2">
        <f>Model_4!H38</f>
        <v>554.48204631231647</v>
      </c>
      <c r="J38" s="2">
        <f>Model_1!I38</f>
        <v>0</v>
      </c>
      <c r="K38" s="2">
        <f>Model_2!I38</f>
        <v>0</v>
      </c>
      <c r="L38" s="2">
        <f ca="1">Model_3!I38</f>
        <v>0</v>
      </c>
      <c r="M38" s="2">
        <f>Model_4!I38</f>
        <v>14.179281852492661</v>
      </c>
      <c r="N38" s="2">
        <f>Model_1!J38</f>
        <v>1000</v>
      </c>
      <c r="O38" s="2">
        <f>Model_2!J38</f>
        <v>1600</v>
      </c>
      <c r="P38" s="2">
        <f>Model_3!J38</f>
        <v>1600</v>
      </c>
      <c r="Q38" s="2">
        <f>Model_4!J38</f>
        <v>400</v>
      </c>
      <c r="R38" s="2">
        <f>Model_1!K38</f>
        <v>2.0636578275997306</v>
      </c>
      <c r="S38" s="2">
        <f>Model_2!K38</f>
        <v>2.7263229480009121</v>
      </c>
      <c r="T38" s="2">
        <f ca="1">Model_3!K38</f>
        <v>2.8558000136523147</v>
      </c>
      <c r="U38" s="2">
        <f>Model_4!K38</f>
        <v>0.72139396155434177</v>
      </c>
      <c r="V38" s="2">
        <f>Model_1!L38</f>
        <v>50.000000000000014</v>
      </c>
      <c r="W38" s="2">
        <f>Model_2!L38</f>
        <v>50</v>
      </c>
      <c r="X38" s="2">
        <f ca="1">Model_3!L38</f>
        <v>50</v>
      </c>
      <c r="Y38" s="2">
        <f>Model_4!L38</f>
        <v>50</v>
      </c>
      <c r="Z38" s="2">
        <f>Model_1!M38</f>
        <v>103.18289137998656</v>
      </c>
      <c r="AA38" s="2">
        <f>Model_2!M38</f>
        <v>136.31614740004559</v>
      </c>
      <c r="AB38" s="2">
        <f ca="1">Model_3!M38</f>
        <v>142.79000068261573</v>
      </c>
      <c r="AC38" s="2">
        <f>Model_4!M38</f>
        <v>36.069698077717085</v>
      </c>
      <c r="AD38" s="2">
        <f>Model_1!N38</f>
        <v>1.0318289137998655</v>
      </c>
      <c r="AE38" s="2">
        <f>Model_2!N38</f>
        <v>1.3631614740004558</v>
      </c>
      <c r="AF38" s="2">
        <f ca="1">Model_3!N38</f>
        <v>1.4279000068261574</v>
      </c>
      <c r="AG38" s="2">
        <f>Model_4!N38</f>
        <v>0.36069698077717083</v>
      </c>
    </row>
    <row r="39" spans="1:33" x14ac:dyDescent="0.3">
      <c r="A39" s="1">
        <v>37</v>
      </c>
      <c r="B39" s="2">
        <f>Model_1!G39</f>
        <v>0.89399020037572274</v>
      </c>
      <c r="C39" s="2">
        <f>Model_2!G39</f>
        <v>0</v>
      </c>
      <c r="D39" s="2">
        <f ca="1">Model_3!G39</f>
        <v>0</v>
      </c>
      <c r="E39" s="2">
        <f>Model_4!G39</f>
        <v>0</v>
      </c>
      <c r="F39" s="2">
        <f>Model_1!H39</f>
        <v>485.53132511246719</v>
      </c>
      <c r="G39" s="2">
        <f>Model_2!H39</f>
        <v>604.30279666872332</v>
      </c>
      <c r="H39" s="2">
        <f ca="1">Model_3!H39</f>
        <v>560.26332108379745</v>
      </c>
      <c r="I39" s="2">
        <f>Model_4!H39</f>
        <v>540.30276445982383</v>
      </c>
      <c r="J39" s="2">
        <f>Model_1!I39</f>
        <v>0</v>
      </c>
      <c r="K39" s="2">
        <f>Model_2!I39</f>
        <v>4.172111866748935</v>
      </c>
      <c r="L39" s="2">
        <f ca="1">Model_3!I39</f>
        <v>2.410532843351898</v>
      </c>
      <c r="M39" s="2">
        <f>Model_4!I39</f>
        <v>13.612110578392953</v>
      </c>
      <c r="N39" s="2">
        <f>Model_1!J39</f>
        <v>1000</v>
      </c>
      <c r="O39" s="2">
        <f>Model_2!J39</f>
        <v>1000</v>
      </c>
      <c r="P39" s="2">
        <f>Model_3!J39</f>
        <v>1000</v>
      </c>
      <c r="Q39" s="2">
        <f>Model_4!J39</f>
        <v>400</v>
      </c>
      <c r="R39" s="2">
        <f>Model_1!K39</f>
        <v>2.0595993466917148</v>
      </c>
      <c r="S39" s="2">
        <f>Model_2!K39</f>
        <v>1.6547995566338518</v>
      </c>
      <c r="T39" s="2">
        <f ca="1">Model_3!K39</f>
        <v>1.7848750085326968</v>
      </c>
      <c r="U39" s="2">
        <f>Model_4!K39</f>
        <v>0.74032565870712563</v>
      </c>
      <c r="V39" s="2">
        <f>Model_1!L39</f>
        <v>50</v>
      </c>
      <c r="W39" s="2">
        <f>Model_2!L39</f>
        <v>50</v>
      </c>
      <c r="X39" s="2">
        <f ca="1">Model_3!L39</f>
        <v>50</v>
      </c>
      <c r="Y39" s="2">
        <f>Model_4!L39</f>
        <v>49.999999999999993</v>
      </c>
      <c r="Z39" s="2">
        <f>Model_1!M39</f>
        <v>102.97996733458574</v>
      </c>
      <c r="AA39" s="2">
        <f>Model_2!M39</f>
        <v>82.739977831692585</v>
      </c>
      <c r="AB39" s="2">
        <f ca="1">Model_3!M39</f>
        <v>89.243750426634833</v>
      </c>
      <c r="AC39" s="2">
        <f>Model_4!M39</f>
        <v>37.01628293535628</v>
      </c>
      <c r="AD39" s="2">
        <f>Model_1!N39</f>
        <v>1.0297996733458574</v>
      </c>
      <c r="AE39" s="2">
        <f>Model_2!N39</f>
        <v>0.82739977831692579</v>
      </c>
      <c r="AF39" s="2">
        <f ca="1">Model_3!N39</f>
        <v>0.89243750426634838</v>
      </c>
      <c r="AG39" s="2">
        <f>Model_4!N39</f>
        <v>0.37016282935356282</v>
      </c>
    </row>
    <row r="40" spans="1:33" x14ac:dyDescent="0.3">
      <c r="A40" s="1">
        <v>38</v>
      </c>
      <c r="B40" s="2">
        <f>Model_1!G40</f>
        <v>0.83721082722184814</v>
      </c>
      <c r="C40" s="2">
        <f>Model_2!G40</f>
        <v>0</v>
      </c>
      <c r="D40" s="2">
        <f ca="1">Model_3!G40</f>
        <v>11.8824523893629</v>
      </c>
      <c r="E40" s="2">
        <f>Model_4!G40</f>
        <v>0</v>
      </c>
      <c r="F40" s="2">
        <f>Model_1!H40</f>
        <v>486.42531531284288</v>
      </c>
      <c r="G40" s="2">
        <f>Model_2!H40</f>
        <v>600.13068480197444</v>
      </c>
      <c r="H40" s="2">
        <f ca="1">Model_3!H40</f>
        <v>557.85278824044553</v>
      </c>
      <c r="I40" s="2">
        <f>Model_4!H40</f>
        <v>526.69065388143088</v>
      </c>
      <c r="J40" s="2">
        <f>Model_1!I40</f>
        <v>0</v>
      </c>
      <c r="K40" s="2">
        <f>Model_2!I40</f>
        <v>4.0052273920789752</v>
      </c>
      <c r="L40" s="2">
        <f ca="1">Model_3!I40</f>
        <v>2.3141115296178238</v>
      </c>
      <c r="M40" s="2">
        <f>Model_4!I40</f>
        <v>13.067626155257237</v>
      </c>
      <c r="N40" s="2">
        <f>Model_1!J40</f>
        <v>1000</v>
      </c>
      <c r="O40" s="2">
        <f>Model_2!J40</f>
        <v>1000</v>
      </c>
      <c r="P40" s="2">
        <f>Model_3!J40</f>
        <v>1000</v>
      </c>
      <c r="Q40" s="2">
        <f>Model_4!J40</f>
        <v>400</v>
      </c>
      <c r="R40" s="2">
        <f>Model_1!K40</f>
        <v>2.0558140551481232</v>
      </c>
      <c r="S40" s="2">
        <f>Model_2!K40</f>
        <v>1.6663037323778416</v>
      </c>
      <c r="T40" s="2">
        <f ca="1">Model_3!K40</f>
        <v>1.792587616446546</v>
      </c>
      <c r="U40" s="2">
        <f>Model_4!K40</f>
        <v>0.75945908106060378</v>
      </c>
      <c r="V40" s="2">
        <f>Model_1!L40</f>
        <v>50</v>
      </c>
      <c r="W40" s="2">
        <f>Model_2!L40</f>
        <v>50</v>
      </c>
      <c r="X40" s="2">
        <f ca="1">Model_3!L40</f>
        <v>50</v>
      </c>
      <c r="Y40" s="2">
        <f>Model_4!L40</f>
        <v>50</v>
      </c>
      <c r="Z40" s="2">
        <f>Model_1!M40</f>
        <v>102.79070275740617</v>
      </c>
      <c r="AA40" s="2">
        <f>Model_2!M40</f>
        <v>83.315186618892085</v>
      </c>
      <c r="AB40" s="2">
        <f ca="1">Model_3!M40</f>
        <v>89.629380822327292</v>
      </c>
      <c r="AC40" s="2">
        <f>Model_4!M40</f>
        <v>37.972954053030186</v>
      </c>
      <c r="AD40" s="2">
        <f>Model_1!N40</f>
        <v>1.0279070275740616</v>
      </c>
      <c r="AE40" s="2">
        <f>Model_2!N40</f>
        <v>0.8331518661889209</v>
      </c>
      <c r="AF40" s="2">
        <f ca="1">Model_3!N40</f>
        <v>0.89629380822327287</v>
      </c>
      <c r="AG40" s="2">
        <f>Model_4!N40</f>
        <v>0.37972954053030183</v>
      </c>
    </row>
    <row r="41" spans="1:33" x14ac:dyDescent="0.3">
      <c r="A41" s="1">
        <v>39</v>
      </c>
      <c r="B41" s="2">
        <f>Model_1!G41</f>
        <v>0.78422656227049137</v>
      </c>
      <c r="C41" s="2">
        <f>Model_2!G41</f>
        <v>16.415970703288025</v>
      </c>
      <c r="D41" s="2">
        <f ca="1">Model_3!G41</f>
        <v>0</v>
      </c>
      <c r="E41" s="2">
        <f>Model_4!G41</f>
        <v>0</v>
      </c>
      <c r="F41" s="2">
        <f>Model_1!H41</f>
        <v>487.26252614006472</v>
      </c>
      <c r="G41" s="2">
        <f>Model_2!H41</f>
        <v>596.12545740989549</v>
      </c>
      <c r="H41" s="2">
        <f ca="1">Model_3!H41</f>
        <v>567.42112910019057</v>
      </c>
      <c r="I41" s="2">
        <f>Model_4!H41</f>
        <v>513.62302772617363</v>
      </c>
      <c r="J41" s="2">
        <f>Model_1!I41</f>
        <v>0</v>
      </c>
      <c r="K41" s="2">
        <f>Model_2!I41</f>
        <v>0</v>
      </c>
      <c r="L41" s="2">
        <f ca="1">Model_3!I41</f>
        <v>0</v>
      </c>
      <c r="M41" s="2">
        <f>Model_4!I41</f>
        <v>12.544921109046948</v>
      </c>
      <c r="N41" s="2">
        <f>Model_1!J41</f>
        <v>1000</v>
      </c>
      <c r="O41" s="2">
        <f>Model_2!J41</f>
        <v>1600</v>
      </c>
      <c r="P41" s="2">
        <f>Model_3!J41</f>
        <v>1600</v>
      </c>
      <c r="Q41" s="2">
        <f>Model_4!J41</f>
        <v>400</v>
      </c>
      <c r="R41" s="2">
        <f>Model_1!K41</f>
        <v>2.0522817708180328</v>
      </c>
      <c r="S41" s="2">
        <f>Model_2!K41</f>
        <v>2.6839987793036677</v>
      </c>
      <c r="T41" s="2">
        <f ca="1">Model_3!K41</f>
        <v>2.8197751510192441</v>
      </c>
      <c r="U41" s="2">
        <f>Model_4!K41</f>
        <v>0.77878128200523522</v>
      </c>
      <c r="V41" s="2">
        <f>Model_1!L41</f>
        <v>50</v>
      </c>
      <c r="W41" s="2">
        <f>Model_2!L41</f>
        <v>50</v>
      </c>
      <c r="X41" s="2">
        <f ca="1">Model_3!L41</f>
        <v>50</v>
      </c>
      <c r="Y41" s="2">
        <f>Model_4!L41</f>
        <v>50</v>
      </c>
      <c r="Z41" s="2">
        <f>Model_1!M41</f>
        <v>102.61408854090163</v>
      </c>
      <c r="AA41" s="2">
        <f>Model_2!M41</f>
        <v>134.19993896518338</v>
      </c>
      <c r="AB41" s="2">
        <f ca="1">Model_3!M41</f>
        <v>140.98875755096222</v>
      </c>
      <c r="AC41" s="2">
        <f>Model_4!M41</f>
        <v>38.93906410026176</v>
      </c>
      <c r="AD41" s="2">
        <f>Model_1!N41</f>
        <v>1.0261408854090164</v>
      </c>
      <c r="AE41" s="2">
        <f>Model_2!N41</f>
        <v>1.3419993896518339</v>
      </c>
      <c r="AF41" s="2">
        <f ca="1">Model_3!N41</f>
        <v>1.4098875755096223</v>
      </c>
      <c r="AG41" s="2">
        <f>Model_4!N41</f>
        <v>0.38939064100261761</v>
      </c>
    </row>
    <row r="42" spans="1:33" x14ac:dyDescent="0.3">
      <c r="A42" s="1">
        <v>40</v>
      </c>
      <c r="B42" s="2">
        <f>Model_1!G42</f>
        <v>0.73476038298456947</v>
      </c>
      <c r="C42" s="2">
        <f>Model_2!G42</f>
        <v>0</v>
      </c>
      <c r="D42" s="2">
        <f ca="1">Model_3!G42</f>
        <v>0</v>
      </c>
      <c r="E42" s="2">
        <f>Model_4!G42</f>
        <v>0</v>
      </c>
      <c r="F42" s="2">
        <f>Model_1!H42</f>
        <v>488.0467527023352</v>
      </c>
      <c r="G42" s="2">
        <f>Model_2!H42</f>
        <v>612.54142811318354</v>
      </c>
      <c r="H42" s="2">
        <f ca="1">Model_3!H42</f>
        <v>567.42112910019057</v>
      </c>
      <c r="I42" s="2">
        <f>Model_4!H42</f>
        <v>501.07810661712671</v>
      </c>
      <c r="J42" s="2">
        <f>Model_1!I42</f>
        <v>0</v>
      </c>
      <c r="K42" s="2">
        <f>Model_2!I42</f>
        <v>4.5016571245273429</v>
      </c>
      <c r="L42" s="2">
        <f ca="1">Model_3!I42</f>
        <v>2.6968451640076228</v>
      </c>
      <c r="M42" s="2">
        <f>Model_4!I42</f>
        <v>12.043124264685069</v>
      </c>
      <c r="N42" s="2">
        <f>Model_1!J42</f>
        <v>1000</v>
      </c>
      <c r="O42" s="2">
        <f>Model_2!J42</f>
        <v>1000</v>
      </c>
      <c r="P42" s="2">
        <f>Model_3!J42</f>
        <v>1000</v>
      </c>
      <c r="Q42" s="2">
        <f>Model_4!J42</f>
        <v>400</v>
      </c>
      <c r="R42" s="2">
        <f>Model_1!K42</f>
        <v>2.0489840255323046</v>
      </c>
      <c r="S42" s="2">
        <f>Model_2!K42</f>
        <v>1.6325426397367249</v>
      </c>
      <c r="T42" s="2">
        <f ca="1">Model_3!K42</f>
        <v>1.7623594693870277</v>
      </c>
      <c r="U42" s="2">
        <f>Model_4!K42</f>
        <v>0.79827874081443273</v>
      </c>
      <c r="V42" s="2">
        <f>Model_1!L42</f>
        <v>50</v>
      </c>
      <c r="W42" s="2">
        <f>Model_2!L42</f>
        <v>50</v>
      </c>
      <c r="X42" s="2">
        <f ca="1">Model_3!L42</f>
        <v>50</v>
      </c>
      <c r="Y42" s="2">
        <f>Model_4!L42</f>
        <v>50</v>
      </c>
      <c r="Z42" s="2">
        <f>Model_1!M42</f>
        <v>102.44920127661523</v>
      </c>
      <c r="AA42" s="2">
        <f>Model_2!M42</f>
        <v>81.627131986836247</v>
      </c>
      <c r="AB42" s="2">
        <f ca="1">Model_3!M42</f>
        <v>88.117973469351384</v>
      </c>
      <c r="AC42" s="2">
        <f>Model_4!M42</f>
        <v>39.913937040721635</v>
      </c>
      <c r="AD42" s="2">
        <f>Model_1!N42</f>
        <v>1.0244920127661523</v>
      </c>
      <c r="AE42" s="2">
        <f>Model_2!N42</f>
        <v>0.81627131986836243</v>
      </c>
      <c r="AF42" s="2">
        <f ca="1">Model_3!N42</f>
        <v>0.88117973469351385</v>
      </c>
      <c r="AG42" s="2">
        <f>Model_4!N42</f>
        <v>0.39913937040721637</v>
      </c>
    </row>
    <row r="43" spans="1:33" x14ac:dyDescent="0.3">
      <c r="A43" s="1">
        <v>41</v>
      </c>
      <c r="B43" s="2">
        <f>Model_1!G43</f>
        <v>0.68855838126115954</v>
      </c>
      <c r="C43" s="2">
        <f>Model_2!G43</f>
        <v>0</v>
      </c>
      <c r="D43" s="2">
        <f ca="1">Model_3!G43</f>
        <v>12.83700020478472</v>
      </c>
      <c r="E43" s="2">
        <f>Model_4!G43</f>
        <v>30.521990012415053</v>
      </c>
      <c r="F43" s="2">
        <f>Model_1!H43</f>
        <v>488.78151308531977</v>
      </c>
      <c r="G43" s="2">
        <f>Model_2!H43</f>
        <v>608.03977098865619</v>
      </c>
      <c r="H43" s="2">
        <f ca="1">Model_3!H43</f>
        <v>564.72428393618293</v>
      </c>
      <c r="I43" s="2">
        <f>Model_4!H43</f>
        <v>489.03498235244166</v>
      </c>
      <c r="J43" s="2">
        <f>Model_1!I43</f>
        <v>0</v>
      </c>
      <c r="K43" s="2">
        <f>Model_2!I43</f>
        <v>4.321590839546249</v>
      </c>
      <c r="L43" s="2">
        <f ca="1">Model_3!I43</f>
        <v>2.588971357447317</v>
      </c>
      <c r="M43" s="2">
        <f>Model_4!I43</f>
        <v>0</v>
      </c>
      <c r="N43" s="2">
        <f>Model_1!J43</f>
        <v>1000</v>
      </c>
      <c r="O43" s="2">
        <f>Model_2!J43</f>
        <v>1000</v>
      </c>
      <c r="P43" s="2">
        <f>Model_3!J43</f>
        <v>1000</v>
      </c>
      <c r="Q43" s="2">
        <f>Model_4!J43</f>
        <v>1600</v>
      </c>
      <c r="R43" s="2">
        <f>Model_1!K43</f>
        <v>2.0459038920840773</v>
      </c>
      <c r="S43" s="2">
        <f>Model_2!K43</f>
        <v>1.6446292622833325</v>
      </c>
      <c r="T43" s="2">
        <f ca="1">Model_3!K43</f>
        <v>1.7707756305960551</v>
      </c>
      <c r="U43" s="2">
        <f>Model_4!K43</f>
        <v>3</v>
      </c>
      <c r="V43" s="2">
        <f>Model_1!L43</f>
        <v>49.999999999999993</v>
      </c>
      <c r="W43" s="2">
        <f>Model_2!L43</f>
        <v>49.999999999999993</v>
      </c>
      <c r="X43" s="2">
        <f ca="1">Model_3!L43</f>
        <v>50</v>
      </c>
      <c r="Y43" s="2">
        <f>Model_4!L43</f>
        <v>54.529159730843787</v>
      </c>
      <c r="Z43" s="2">
        <f>Model_1!M43</f>
        <v>102.29519460420386</v>
      </c>
      <c r="AA43" s="2">
        <f>Model_2!M43</f>
        <v>82.231463114166615</v>
      </c>
      <c r="AB43" s="2">
        <f ca="1">Model_3!M43</f>
        <v>88.538781529802762</v>
      </c>
      <c r="AC43" s="2">
        <f>Model_4!M43</f>
        <v>163.58747919253136</v>
      </c>
      <c r="AD43" s="2">
        <f>Model_1!N43</f>
        <v>1.0229519460420387</v>
      </c>
      <c r="AE43" s="2">
        <f>Model_2!N43</f>
        <v>0.82231463114166614</v>
      </c>
      <c r="AF43" s="2">
        <f ca="1">Model_3!N43</f>
        <v>0.88538781529802757</v>
      </c>
      <c r="AG43" s="2">
        <f>Model_4!N43</f>
        <v>1.6358747919253136</v>
      </c>
    </row>
    <row r="44" spans="1:33" x14ac:dyDescent="0.3">
      <c r="A44" s="1">
        <v>42</v>
      </c>
      <c r="B44" s="2">
        <f>Model_1!G44</f>
        <v>0.6453874800885373</v>
      </c>
      <c r="C44" s="2">
        <f>Model_2!G44</f>
        <v>15.605836734145964</v>
      </c>
      <c r="D44" s="2">
        <f ca="1">Model_3!G44</f>
        <v>0</v>
      </c>
      <c r="E44" s="2">
        <f>Model_4!G44</f>
        <v>25.909122661207888</v>
      </c>
      <c r="F44" s="2">
        <f>Model_1!H44</f>
        <v>489.47007146658092</v>
      </c>
      <c r="G44" s="2">
        <f>Model_2!H44</f>
        <v>603.71818014910991</v>
      </c>
      <c r="H44" s="2">
        <f ca="1">Model_3!H44</f>
        <v>574.97231278352035</v>
      </c>
      <c r="I44" s="2">
        <f>Model_4!H44</f>
        <v>519.55697236485673</v>
      </c>
      <c r="J44" s="2">
        <f>Model_1!I44</f>
        <v>0</v>
      </c>
      <c r="K44" s="2">
        <f>Model_2!I44</f>
        <v>0</v>
      </c>
      <c r="L44" s="2">
        <f ca="1">Model_3!I44</f>
        <v>0</v>
      </c>
      <c r="M44" s="2">
        <f>Model_4!I44</f>
        <v>0</v>
      </c>
      <c r="N44" s="2">
        <f>Model_1!J44</f>
        <v>1000</v>
      </c>
      <c r="O44" s="2">
        <f>Model_2!J44</f>
        <v>1600</v>
      </c>
      <c r="P44" s="2">
        <f>Model_3!J44</f>
        <v>1600</v>
      </c>
      <c r="Q44" s="2">
        <f>Model_4!J44</f>
        <v>1600</v>
      </c>
      <c r="R44" s="2">
        <f>Model_1!K44</f>
        <v>2.0430258320059025</v>
      </c>
      <c r="S44" s="2">
        <f>Model_2!K44</f>
        <v>2.6502431972560814</v>
      </c>
      <c r="T44" s="2">
        <f ca="1">Model_3!K44</f>
        <v>2.7827426893899969</v>
      </c>
      <c r="U44" s="2">
        <f>Model_4!K44</f>
        <v>3</v>
      </c>
      <c r="V44" s="2">
        <f>Model_1!L44</f>
        <v>50</v>
      </c>
      <c r="W44" s="2">
        <f>Model_2!L44</f>
        <v>50</v>
      </c>
      <c r="X44" s="2">
        <f ca="1">Model_3!L44</f>
        <v>50</v>
      </c>
      <c r="Y44" s="2">
        <f>Model_4!L44</f>
        <v>51.32577962583882</v>
      </c>
      <c r="Z44" s="2">
        <f>Model_1!M44</f>
        <v>102.15129160029512</v>
      </c>
      <c r="AA44" s="2">
        <f>Model_2!M44</f>
        <v>132.51215986280408</v>
      </c>
      <c r="AB44" s="2">
        <f ca="1">Model_3!M44</f>
        <v>139.13713446949984</v>
      </c>
      <c r="AC44" s="2">
        <f>Model_4!M44</f>
        <v>153.97733887751644</v>
      </c>
      <c r="AD44" s="2">
        <f>Model_1!N44</f>
        <v>1.0215129160029512</v>
      </c>
      <c r="AE44" s="2">
        <f>Model_2!N44</f>
        <v>1.3251215986280409</v>
      </c>
      <c r="AF44" s="2">
        <f ca="1">Model_3!N44</f>
        <v>1.3913713446949985</v>
      </c>
      <c r="AG44" s="2">
        <f>Model_4!N44</f>
        <v>1.5397733887751643</v>
      </c>
    </row>
    <row r="45" spans="1:33" x14ac:dyDescent="0.3">
      <c r="A45" s="1">
        <v>43</v>
      </c>
      <c r="B45" s="2">
        <f>Model_1!G45</f>
        <v>0.60503341852799153</v>
      </c>
      <c r="C45" s="2">
        <f>Model_2!G45</f>
        <v>0</v>
      </c>
      <c r="D45" s="2">
        <f ca="1">Model_3!G45</f>
        <v>0</v>
      </c>
      <c r="E45" s="2">
        <f>Model_4!G45</f>
        <v>22.398509366865564</v>
      </c>
      <c r="F45" s="2">
        <f>Model_1!H45</f>
        <v>490.11545894666943</v>
      </c>
      <c r="G45" s="2">
        <f>Model_2!H45</f>
        <v>619.32401688325592</v>
      </c>
      <c r="H45" s="2">
        <f ca="1">Model_3!H45</f>
        <v>574.97231278352035</v>
      </c>
      <c r="I45" s="2">
        <f>Model_4!H45</f>
        <v>545.46609502606464</v>
      </c>
      <c r="J45" s="2">
        <f>Model_1!I45</f>
        <v>0</v>
      </c>
      <c r="K45" s="2">
        <f>Model_2!I45</f>
        <v>4.7729606753302418</v>
      </c>
      <c r="L45" s="2">
        <f ca="1">Model_3!I45</f>
        <v>2.9988925113408103</v>
      </c>
      <c r="M45" s="2">
        <f>Model_4!I45</f>
        <v>0</v>
      </c>
      <c r="N45" s="2">
        <f>Model_1!J45</f>
        <v>1000</v>
      </c>
      <c r="O45" s="2">
        <f>Model_2!J45</f>
        <v>1000</v>
      </c>
      <c r="P45" s="2">
        <f>Model_3!J45</f>
        <v>1000</v>
      </c>
      <c r="Q45" s="2">
        <f>Model_4!J45</f>
        <v>1600</v>
      </c>
      <c r="R45" s="2">
        <f>Model_1!K45</f>
        <v>2.040335561235199</v>
      </c>
      <c r="S45" s="2">
        <f>Model_2!K45</f>
        <v>1.6146636861145698</v>
      </c>
      <c r="T45" s="2">
        <f ca="1">Model_3!K45</f>
        <v>1.7392141808687482</v>
      </c>
      <c r="U45" s="2">
        <f>Model_4!K45</f>
        <v>2.933271223619399</v>
      </c>
      <c r="V45" s="2">
        <f>Model_1!L45</f>
        <v>50.000000000000014</v>
      </c>
      <c r="W45" s="2">
        <f>Model_2!L45</f>
        <v>49.999999999999993</v>
      </c>
      <c r="X45" s="2">
        <f ca="1">Model_3!L45</f>
        <v>50</v>
      </c>
      <c r="Y45" s="2">
        <f>Model_4!L45</f>
        <v>50</v>
      </c>
      <c r="Z45" s="2">
        <f>Model_1!M45</f>
        <v>102.01677806175998</v>
      </c>
      <c r="AA45" s="2">
        <f>Model_2!M45</f>
        <v>80.733184305728471</v>
      </c>
      <c r="AB45" s="2">
        <f ca="1">Model_3!M45</f>
        <v>86.960709043437419</v>
      </c>
      <c r="AC45" s="2">
        <f>Model_4!M45</f>
        <v>146.66356118096994</v>
      </c>
      <c r="AD45" s="2">
        <f>Model_1!N45</f>
        <v>1.0201677806175997</v>
      </c>
      <c r="AE45" s="2">
        <f>Model_2!N45</f>
        <v>0.80733184305728467</v>
      </c>
      <c r="AF45" s="2">
        <f ca="1">Model_3!N45</f>
        <v>0.86960709043437423</v>
      </c>
      <c r="AG45" s="2">
        <f>Model_4!N45</f>
        <v>1.4666356118096993</v>
      </c>
    </row>
    <row r="46" spans="1:33" x14ac:dyDescent="0.3">
      <c r="A46" s="1">
        <v>44</v>
      </c>
      <c r="B46" s="2">
        <f>Model_1!G46</f>
        <v>0.56729896830332471</v>
      </c>
      <c r="C46" s="2">
        <f>Model_2!G46</f>
        <v>0</v>
      </c>
      <c r="D46" s="2">
        <f ca="1">Model_3!G46</f>
        <v>12.296627265288668</v>
      </c>
      <c r="E46" s="2">
        <f>Model_4!G46</f>
        <v>19.621752972350027</v>
      </c>
      <c r="F46" s="2">
        <f>Model_1!H46</f>
        <v>490.7204923651974</v>
      </c>
      <c r="G46" s="2">
        <f>Model_2!H46</f>
        <v>614.55105620792563</v>
      </c>
      <c r="H46" s="2">
        <f ca="1">Model_3!H46</f>
        <v>571.97342027217951</v>
      </c>
      <c r="I46" s="2">
        <f>Model_4!H46</f>
        <v>567.86460439293023</v>
      </c>
      <c r="J46" s="2">
        <f>Model_1!I46</f>
        <v>0</v>
      </c>
      <c r="K46" s="2">
        <f>Model_2!I46</f>
        <v>4.5820422483170251</v>
      </c>
      <c r="L46" s="2">
        <f ca="1">Model_3!I46</f>
        <v>2.8789368108871805</v>
      </c>
      <c r="M46" s="2">
        <f>Model_4!I46</f>
        <v>0</v>
      </c>
      <c r="N46" s="2">
        <f>Model_1!J46</f>
        <v>1000</v>
      </c>
      <c r="O46" s="2">
        <f>Model_2!J46</f>
        <v>1000</v>
      </c>
      <c r="P46" s="2">
        <f>Model_3!J46</f>
        <v>1000</v>
      </c>
      <c r="Q46" s="2">
        <f>Model_4!J46</f>
        <v>1600</v>
      </c>
      <c r="R46" s="2">
        <f>Model_1!K46</f>
        <v>2.0378199312202221</v>
      </c>
      <c r="S46" s="2">
        <f>Model_2!K46</f>
        <v>1.6272041027322921</v>
      </c>
      <c r="T46" s="2">
        <f ca="1">Model_3!K46</f>
        <v>1.7483329898863824</v>
      </c>
      <c r="U46" s="2">
        <f>Model_4!K46</f>
        <v>2.8175730405145845</v>
      </c>
      <c r="V46" s="2">
        <f>Model_1!L46</f>
        <v>49.999999999999993</v>
      </c>
      <c r="W46" s="2">
        <f>Model_2!L46</f>
        <v>50</v>
      </c>
      <c r="X46" s="2">
        <f ca="1">Model_3!L46</f>
        <v>50</v>
      </c>
      <c r="Y46" s="2">
        <f>Model_4!L46</f>
        <v>50</v>
      </c>
      <c r="Z46" s="2">
        <f>Model_1!M46</f>
        <v>101.89099656101109</v>
      </c>
      <c r="AA46" s="2">
        <f>Model_2!M46</f>
        <v>81.36020513661461</v>
      </c>
      <c r="AB46" s="2">
        <f ca="1">Model_3!M46</f>
        <v>87.416649494319117</v>
      </c>
      <c r="AC46" s="2">
        <f>Model_4!M46</f>
        <v>140.87865202572922</v>
      </c>
      <c r="AD46" s="2">
        <f>Model_1!N46</f>
        <v>1.0189099656101108</v>
      </c>
      <c r="AE46" s="2">
        <f>Model_2!N46</f>
        <v>0.81360205136614605</v>
      </c>
      <c r="AF46" s="2">
        <f ca="1">Model_3!N46</f>
        <v>0.87416649494319121</v>
      </c>
      <c r="AG46" s="2">
        <f>Model_4!N46</f>
        <v>1.4087865202572922</v>
      </c>
    </row>
    <row r="47" spans="1:33" x14ac:dyDescent="0.3">
      <c r="A47" s="1">
        <v>45</v>
      </c>
      <c r="B47" s="2">
        <f>Model_1!G47</f>
        <v>0.53200235097549564</v>
      </c>
      <c r="C47" s="2">
        <f>Model_2!G47</f>
        <v>14.954017533983787</v>
      </c>
      <c r="D47" s="2">
        <f ca="1">Model_3!G47</f>
        <v>0</v>
      </c>
      <c r="E47" s="2">
        <f>Model_4!G47</f>
        <v>17.363219960057911</v>
      </c>
      <c r="F47" s="2">
        <f>Model_1!H47</f>
        <v>491.28779133350071</v>
      </c>
      <c r="G47" s="2">
        <f>Model_2!H47</f>
        <v>609.96901395960856</v>
      </c>
      <c r="H47" s="2">
        <f ca="1">Model_3!H47</f>
        <v>581.39111072658102</v>
      </c>
      <c r="I47" s="2">
        <f>Model_4!H47</f>
        <v>587.48635736528024</v>
      </c>
      <c r="J47" s="2">
        <f>Model_1!I47</f>
        <v>0</v>
      </c>
      <c r="K47" s="2">
        <f>Model_2!I47</f>
        <v>0</v>
      </c>
      <c r="L47" s="2">
        <f ca="1">Model_3!I47</f>
        <v>0</v>
      </c>
      <c r="M47" s="2">
        <f>Model_4!I47</f>
        <v>0</v>
      </c>
      <c r="N47" s="2">
        <f>Model_1!J47</f>
        <v>1000</v>
      </c>
      <c r="O47" s="2">
        <f>Model_2!J47</f>
        <v>1600</v>
      </c>
      <c r="P47" s="2">
        <f>Model_3!J47</f>
        <v>1600</v>
      </c>
      <c r="Q47" s="2">
        <f>Model_4!J47</f>
        <v>1600</v>
      </c>
      <c r="R47" s="2">
        <f>Model_1!K47</f>
        <v>2.0354668233983659</v>
      </c>
      <c r="S47" s="2">
        <f>Model_2!K47</f>
        <v>2.6230840639159911</v>
      </c>
      <c r="T47" s="2">
        <f ca="1">Model_3!K47</f>
        <v>2.7520200609886079</v>
      </c>
      <c r="U47" s="2">
        <f>Model_4!K47</f>
        <v>2.7234674983357463</v>
      </c>
      <c r="V47" s="2">
        <f>Model_1!L47</f>
        <v>50.000000000000014</v>
      </c>
      <c r="W47" s="2">
        <f>Model_2!L47</f>
        <v>50</v>
      </c>
      <c r="X47" s="2">
        <f ca="1">Model_3!L47</f>
        <v>50</v>
      </c>
      <c r="Y47" s="2">
        <f>Model_4!L47</f>
        <v>50</v>
      </c>
      <c r="Z47" s="2">
        <f>Model_1!M47</f>
        <v>101.77334116991833</v>
      </c>
      <c r="AA47" s="2">
        <f>Model_2!M47</f>
        <v>131.15420319579957</v>
      </c>
      <c r="AB47" s="2">
        <f ca="1">Model_3!M47</f>
        <v>137.6010030494304</v>
      </c>
      <c r="AC47" s="2">
        <f>Model_4!M47</f>
        <v>136.17337491678731</v>
      </c>
      <c r="AD47" s="2">
        <f>Model_1!N47</f>
        <v>1.0177334116991832</v>
      </c>
      <c r="AE47" s="2">
        <f>Model_2!N47</f>
        <v>1.3115420319579956</v>
      </c>
      <c r="AF47" s="2">
        <f ca="1">Model_3!N47</f>
        <v>1.3760100304943039</v>
      </c>
      <c r="AG47" s="2">
        <f>Model_4!N47</f>
        <v>1.3617337491678732</v>
      </c>
    </row>
    <row r="48" spans="1:33" x14ac:dyDescent="0.3">
      <c r="A48" s="1">
        <v>46</v>
      </c>
      <c r="B48" s="2">
        <f>Model_1!G48</f>
        <v>0.49897582939322227</v>
      </c>
      <c r="C48" s="2">
        <f>Model_2!G48</f>
        <v>0</v>
      </c>
      <c r="D48" s="2">
        <f ca="1">Model_3!G48</f>
        <v>0</v>
      </c>
      <c r="E48" s="2">
        <f>Model_4!G48</f>
        <v>15.486859277980948</v>
      </c>
      <c r="F48" s="2">
        <f>Model_1!H48</f>
        <v>491.81979368447622</v>
      </c>
      <c r="G48" s="2">
        <f>Model_2!H48</f>
        <v>624.92303149359236</v>
      </c>
      <c r="H48" s="2">
        <f ca="1">Model_3!H48</f>
        <v>581.39111072658102</v>
      </c>
      <c r="I48" s="2">
        <f>Model_4!H48</f>
        <v>604.84957732533815</v>
      </c>
      <c r="J48" s="2">
        <f>Model_1!I48</f>
        <v>0</v>
      </c>
      <c r="K48" s="2">
        <f>Model_2!I48</f>
        <v>4.9969212597436927</v>
      </c>
      <c r="L48" s="2">
        <f ca="1">Model_3!I48</f>
        <v>3.2556444290632416</v>
      </c>
      <c r="M48" s="2">
        <f>Model_4!I48</f>
        <v>0</v>
      </c>
      <c r="N48" s="2">
        <f>Model_1!J48</f>
        <v>1000</v>
      </c>
      <c r="O48" s="2">
        <f>Model_2!J48</f>
        <v>1000</v>
      </c>
      <c r="P48" s="2">
        <f>Model_3!J48</f>
        <v>1000</v>
      </c>
      <c r="Q48" s="2">
        <f>Model_4!J48</f>
        <v>1600</v>
      </c>
      <c r="R48" s="2">
        <f>Model_1!K48</f>
        <v>2.033265055292881</v>
      </c>
      <c r="S48" s="2">
        <f>Model_2!K48</f>
        <v>1.6001970636447147</v>
      </c>
      <c r="T48" s="2">
        <f ca="1">Model_3!K48</f>
        <v>1.7200125381178799</v>
      </c>
      <c r="U48" s="2">
        <f>Model_4!K48</f>
        <v>2.6452858032492061</v>
      </c>
      <c r="V48" s="2">
        <f>Model_1!L48</f>
        <v>50.000000000000014</v>
      </c>
      <c r="W48" s="2">
        <f>Model_2!L48</f>
        <v>49.999999999999993</v>
      </c>
      <c r="X48" s="2">
        <f ca="1">Model_3!L48</f>
        <v>50</v>
      </c>
      <c r="Y48" s="2">
        <f>Model_4!L48</f>
        <v>50</v>
      </c>
      <c r="Z48" s="2">
        <f>Model_1!M48</f>
        <v>101.66325276464408</v>
      </c>
      <c r="AA48" s="2">
        <f>Model_2!M48</f>
        <v>80.00985318223573</v>
      </c>
      <c r="AB48" s="2">
        <f ca="1">Model_3!M48</f>
        <v>86.000626905893995</v>
      </c>
      <c r="AC48" s="2">
        <f>Model_4!M48</f>
        <v>132.2642901624603</v>
      </c>
      <c r="AD48" s="2">
        <f>Model_1!N48</f>
        <v>1.0166325276464407</v>
      </c>
      <c r="AE48" s="2">
        <f>Model_2!N48</f>
        <v>0.80009853182235735</v>
      </c>
      <c r="AF48" s="2">
        <f ca="1">Model_3!N48</f>
        <v>0.86000626905893995</v>
      </c>
      <c r="AG48" s="2">
        <f>Model_4!N48</f>
        <v>1.3226429016246031</v>
      </c>
    </row>
    <row r="49" spans="1:33" x14ac:dyDescent="0.3">
      <c r="A49" s="1">
        <v>47</v>
      </c>
      <c r="B49" s="2">
        <f>Model_1!G49</f>
        <v>0.4680644510292753</v>
      </c>
      <c r="C49" s="2">
        <f>Model_2!G49</f>
        <v>0</v>
      </c>
      <c r="D49" s="2">
        <f ca="1">Model_3!G49</f>
        <v>11.741140340849954</v>
      </c>
      <c r="E49" s="2">
        <f>Model_4!G49</f>
        <v>13.901893447144566</v>
      </c>
      <c r="F49" s="2">
        <f>Model_1!H49</f>
        <v>492.31876951386943</v>
      </c>
      <c r="G49" s="2">
        <f>Model_2!H49</f>
        <v>619.9261102338487</v>
      </c>
      <c r="H49" s="2">
        <f ca="1">Model_3!H49</f>
        <v>578.13546629751772</v>
      </c>
      <c r="I49" s="2">
        <f>Model_4!H49</f>
        <v>620.33643660331904</v>
      </c>
      <c r="J49" s="2">
        <f>Model_1!I49</f>
        <v>0</v>
      </c>
      <c r="K49" s="2">
        <f>Model_2!I49</f>
        <v>4.7970444093539477</v>
      </c>
      <c r="L49" s="2">
        <f ca="1">Model_3!I49</f>
        <v>3.1254186519007101</v>
      </c>
      <c r="M49" s="2">
        <f>Model_4!I49</f>
        <v>0</v>
      </c>
      <c r="N49" s="2">
        <f>Model_1!J49</f>
        <v>1000</v>
      </c>
      <c r="O49" s="2">
        <f>Model_2!J49</f>
        <v>1000</v>
      </c>
      <c r="P49" s="2">
        <f>Model_3!J49</f>
        <v>1000</v>
      </c>
      <c r="Q49" s="2">
        <f>Model_4!J49</f>
        <v>1600</v>
      </c>
      <c r="R49" s="2">
        <f>Model_1!K49</f>
        <v>2.031204296735285</v>
      </c>
      <c r="S49" s="2">
        <f>Model_2!K49</f>
        <v>1.61309546975329</v>
      </c>
      <c r="T49" s="2">
        <f ca="1">Model_3!K49</f>
        <v>1.7296984155014357</v>
      </c>
      <c r="U49" s="2">
        <f>Model_4!K49</f>
        <v>2.5792455602976898</v>
      </c>
      <c r="V49" s="2">
        <f>Model_1!L49</f>
        <v>50</v>
      </c>
      <c r="W49" s="2">
        <f>Model_2!L49</f>
        <v>50</v>
      </c>
      <c r="X49" s="2">
        <f ca="1">Model_3!L49</f>
        <v>49.999999999999993</v>
      </c>
      <c r="Y49" s="2">
        <f>Model_4!L49</f>
        <v>50</v>
      </c>
      <c r="Z49" s="2">
        <f>Model_1!M49</f>
        <v>101.56021483676425</v>
      </c>
      <c r="AA49" s="2">
        <f>Model_2!M49</f>
        <v>80.654773487664499</v>
      </c>
      <c r="AB49" s="2">
        <f ca="1">Model_3!M49</f>
        <v>86.484920775071771</v>
      </c>
      <c r="AC49" s="2">
        <f>Model_4!M49</f>
        <v>128.9622780148845</v>
      </c>
      <c r="AD49" s="2">
        <f>Model_1!N49</f>
        <v>1.0156021483676425</v>
      </c>
      <c r="AE49" s="2">
        <f>Model_2!N49</f>
        <v>0.80654773487664499</v>
      </c>
      <c r="AF49" s="2">
        <f ca="1">Model_3!N49</f>
        <v>0.86484920775071772</v>
      </c>
      <c r="AG49" s="2">
        <f>Model_4!N49</f>
        <v>1.2896227801488451</v>
      </c>
    </row>
    <row r="50" spans="1:33" x14ac:dyDescent="0.3">
      <c r="A50" s="1">
        <v>48</v>
      </c>
      <c r="B50" s="2">
        <f>Model_1!G50</f>
        <v>0.43912492408117787</v>
      </c>
      <c r="C50" s="2">
        <f>Model_2!G50</f>
        <v>14.425923490593235</v>
      </c>
      <c r="D50" s="2">
        <f ca="1">Model_3!G50</f>
        <v>0</v>
      </c>
      <c r="E50" s="2">
        <f>Model_4!G50</f>
        <v>12.545063551968994</v>
      </c>
      <c r="F50" s="2">
        <f>Model_1!H50</f>
        <v>492.78683396489868</v>
      </c>
      <c r="G50" s="2">
        <f>Model_2!H50</f>
        <v>615.12906582449477</v>
      </c>
      <c r="H50" s="2">
        <f ca="1">Model_3!H50</f>
        <v>586.75118798646702</v>
      </c>
      <c r="I50" s="2">
        <f>Model_4!H50</f>
        <v>634.23833005046356</v>
      </c>
      <c r="J50" s="2">
        <f>Model_1!I50</f>
        <v>0</v>
      </c>
      <c r="K50" s="2">
        <f>Model_2!I50</f>
        <v>0</v>
      </c>
      <c r="L50" s="2">
        <f ca="1">Model_3!I50</f>
        <v>0</v>
      </c>
      <c r="M50" s="2">
        <f>Model_4!I50</f>
        <v>0</v>
      </c>
      <c r="N50" s="2">
        <f>Model_1!J50</f>
        <v>1000</v>
      </c>
      <c r="O50" s="2">
        <f>Model_2!J50</f>
        <v>1600</v>
      </c>
      <c r="P50" s="2">
        <f>Model_3!J50</f>
        <v>1600</v>
      </c>
      <c r="Q50" s="2">
        <f>Model_4!J50</f>
        <v>1600</v>
      </c>
      <c r="R50" s="2">
        <f>Model_1!K50</f>
        <v>2.0292749949387452</v>
      </c>
      <c r="S50" s="2">
        <f>Model_2!K50</f>
        <v>2.6010801454413848</v>
      </c>
      <c r="T50" s="2">
        <f ca="1">Model_3!K50</f>
        <v>2.7268798645140584</v>
      </c>
      <c r="U50" s="2">
        <f>Model_4!K50</f>
        <v>2.5227109813320414</v>
      </c>
      <c r="V50" s="2">
        <f>Model_1!L50</f>
        <v>50</v>
      </c>
      <c r="W50" s="2">
        <f>Model_2!L50</f>
        <v>50</v>
      </c>
      <c r="X50" s="2">
        <f ca="1">Model_3!L50</f>
        <v>50</v>
      </c>
      <c r="Y50" s="2">
        <f>Model_4!L50</f>
        <v>50</v>
      </c>
      <c r="Z50" s="2">
        <f>Model_1!M50</f>
        <v>101.46374974693725</v>
      </c>
      <c r="AA50" s="2">
        <f>Model_2!M50</f>
        <v>130.05400727206924</v>
      </c>
      <c r="AB50" s="2">
        <f ca="1">Model_3!M50</f>
        <v>136.34399322570292</v>
      </c>
      <c r="AC50" s="2">
        <f>Model_4!M50</f>
        <v>126.13554906660207</v>
      </c>
      <c r="AD50" s="2">
        <f>Model_1!N50</f>
        <v>1.0146374974693726</v>
      </c>
      <c r="AE50" s="2">
        <f>Model_2!N50</f>
        <v>1.3005400727206924</v>
      </c>
      <c r="AF50" s="2">
        <f ca="1">Model_3!N50</f>
        <v>1.3634399322570292</v>
      </c>
      <c r="AG50" s="2">
        <f>Model_4!N50</f>
        <v>1.2613554906660207</v>
      </c>
    </row>
    <row r="51" spans="1:33" x14ac:dyDescent="0.3">
      <c r="A51" s="1">
        <v>49</v>
      </c>
      <c r="B51" s="2">
        <f>Model_1!G51</f>
        <v>0.41202460995437562</v>
      </c>
      <c r="C51" s="2">
        <f>Model_2!G51</f>
        <v>0</v>
      </c>
      <c r="D51" s="2">
        <f ca="1">Model_3!G51</f>
        <v>0</v>
      </c>
      <c r="E51" s="2">
        <f>Model_4!G51</f>
        <v>11.37072655208566</v>
      </c>
      <c r="F51" s="2">
        <f>Model_1!H51</f>
        <v>493.22595888897985</v>
      </c>
      <c r="G51" s="2">
        <f>Model_2!H51</f>
        <v>629.55498931508805</v>
      </c>
      <c r="H51" s="2">
        <f ca="1">Model_3!H51</f>
        <v>586.75118798646702</v>
      </c>
      <c r="I51" s="2">
        <f>Model_4!H51</f>
        <v>646.78339360243251</v>
      </c>
      <c r="J51" s="2">
        <f>Model_1!I51</f>
        <v>0</v>
      </c>
      <c r="K51" s="2">
        <f>Model_2!I51</f>
        <v>17.182199572603523</v>
      </c>
      <c r="L51" s="2">
        <f ca="1">Model_3!I51</f>
        <v>15.47004751945868</v>
      </c>
      <c r="M51" s="2">
        <f>Model_4!I51</f>
        <v>0</v>
      </c>
      <c r="N51" s="2">
        <f>Model_1!J51</f>
        <v>1000</v>
      </c>
      <c r="O51" s="2">
        <f>Model_2!J51</f>
        <v>400</v>
      </c>
      <c r="P51" s="2">
        <f>Model_3!J51</f>
        <v>400</v>
      </c>
      <c r="Q51" s="2">
        <f>Model_4!J51</f>
        <v>1600</v>
      </c>
      <c r="R51" s="2">
        <f>Model_1!K51</f>
        <v>2.0274683073302917</v>
      </c>
      <c r="S51" s="2">
        <f>Model_2!K51</f>
        <v>0.63536943839516247</v>
      </c>
      <c r="T51" s="2">
        <f ca="1">Model_3!K51</f>
        <v>0.6817199661285146</v>
      </c>
      <c r="U51" s="2">
        <f>Model_4!K51</f>
        <v>2.4737802730035683</v>
      </c>
      <c r="V51" s="2">
        <f>Model_1!L51</f>
        <v>50</v>
      </c>
      <c r="W51" s="2">
        <f>Model_2!L51</f>
        <v>50</v>
      </c>
      <c r="X51" s="2">
        <f ca="1">Model_3!L51</f>
        <v>50</v>
      </c>
      <c r="Y51" s="2">
        <f>Model_4!L51</f>
        <v>50.000000000000014</v>
      </c>
      <c r="Z51" s="2">
        <f>Model_1!M51</f>
        <v>101.37341536651459</v>
      </c>
      <c r="AA51" s="2">
        <f>Model_2!M51</f>
        <v>31.768471919758124</v>
      </c>
      <c r="AB51" s="2">
        <f ca="1">Model_3!M51</f>
        <v>34.085998306425729</v>
      </c>
      <c r="AC51" s="2">
        <f>Model_4!M51</f>
        <v>123.68901365017845</v>
      </c>
      <c r="AD51" s="2">
        <f>Model_1!N51</f>
        <v>1.0137341536651459</v>
      </c>
      <c r="AE51" s="2">
        <f>Model_2!N51</f>
        <v>0.31768471919758123</v>
      </c>
      <c r="AF51" s="2">
        <f ca="1">Model_3!N51</f>
        <v>0.3408599830642573</v>
      </c>
      <c r="AG51" s="2">
        <f>Model_4!N51</f>
        <v>1.2368901365017846</v>
      </c>
    </row>
    <row r="52" spans="1:33" x14ac:dyDescent="0.3">
      <c r="A52" s="1">
        <v>50</v>
      </c>
      <c r="B52" s="2">
        <f>Model_1!G52</f>
        <v>0.38664061804795313</v>
      </c>
      <c r="C52" s="2">
        <f>Model_2!G52</f>
        <v>0</v>
      </c>
      <c r="D52" s="2">
        <f ca="1">Model_3!G52</f>
        <v>11.280300914829118</v>
      </c>
      <c r="E52" s="2">
        <f>Model_4!G52</f>
        <v>10.34499674785085</v>
      </c>
      <c r="F52" s="2">
        <f>Model_1!H52</f>
        <v>493.6379834989342</v>
      </c>
      <c r="G52" s="2">
        <f>Model_2!H52</f>
        <v>612.37278974248454</v>
      </c>
      <c r="H52" s="2">
        <f ca="1">Model_3!H52</f>
        <v>571.2811404670083</v>
      </c>
      <c r="I52" s="2">
        <f>Model_4!H52</f>
        <v>658.15412015451818</v>
      </c>
      <c r="J52" s="2">
        <f>Model_1!I52</f>
        <v>0</v>
      </c>
      <c r="K52" s="2">
        <f>Model_2!I52</f>
        <v>4.494911589699381</v>
      </c>
      <c r="L52" s="2">
        <f ca="1">Model_3!I52</f>
        <v>2.8512456186803354</v>
      </c>
      <c r="M52" s="2">
        <f>Model_4!I52</f>
        <v>0</v>
      </c>
      <c r="N52" s="2">
        <f>Model_1!J52</f>
        <v>1000</v>
      </c>
      <c r="O52" s="2">
        <f>Model_2!J52</f>
        <v>1000</v>
      </c>
      <c r="P52" s="2">
        <f>Model_3!J52</f>
        <v>1000</v>
      </c>
      <c r="Q52" s="2">
        <f>Model_4!J52</f>
        <v>1600</v>
      </c>
      <c r="R52" s="2">
        <f>Model_1!K52</f>
        <v>2.0257760412031969</v>
      </c>
      <c r="S52" s="2">
        <f>Model_2!K52</f>
        <v>1.6329922177314913</v>
      </c>
      <c r="T52" s="2">
        <f ca="1">Model_3!K52</f>
        <v>1.7504516238406269</v>
      </c>
      <c r="U52" s="2">
        <f>Model_4!K52</f>
        <v>2.4310415311604521</v>
      </c>
      <c r="V52" s="2">
        <f>Model_1!L52</f>
        <v>50</v>
      </c>
      <c r="W52" s="2">
        <f>Model_2!L52</f>
        <v>50</v>
      </c>
      <c r="X52" s="2">
        <f ca="1">Model_3!L52</f>
        <v>50</v>
      </c>
      <c r="Y52" s="2">
        <f>Model_4!L52</f>
        <v>50</v>
      </c>
      <c r="Z52" s="2">
        <f>Model_1!M52</f>
        <v>101.28880206015984</v>
      </c>
      <c r="AA52" s="2">
        <f>Model_2!M52</f>
        <v>81.649610886574564</v>
      </c>
      <c r="AB52" s="2">
        <f ca="1">Model_3!M52</f>
        <v>87.522581192031339</v>
      </c>
      <c r="AC52" s="2">
        <f>Model_4!M52</f>
        <v>121.55207655802261</v>
      </c>
      <c r="AD52" s="2">
        <f>Model_1!N52</f>
        <v>1.0128880206015984</v>
      </c>
      <c r="AE52" s="2">
        <f>Model_2!N52</f>
        <v>0.81649610886574564</v>
      </c>
      <c r="AF52" s="2">
        <f ca="1">Model_3!N52</f>
        <v>0.87522581192031335</v>
      </c>
      <c r="AG52" s="2">
        <f>Model_4!N52</f>
        <v>1.215520765580226</v>
      </c>
    </row>
    <row r="53" spans="1:33" x14ac:dyDescent="0.3">
      <c r="A53" s="1">
        <v>51</v>
      </c>
      <c r="B53" s="2">
        <f>Model_1!G53</f>
        <v>0.36285899070505945</v>
      </c>
      <c r="C53" s="2">
        <f>Model_2!G53</f>
        <v>15.170583072852789</v>
      </c>
      <c r="D53" s="2">
        <f ca="1">Model_3!G53</f>
        <v>0</v>
      </c>
      <c r="E53" s="2">
        <f>Model_4!G53</f>
        <v>0</v>
      </c>
      <c r="F53" s="2">
        <f>Model_1!H53</f>
        <v>494.02462411698218</v>
      </c>
      <c r="G53" s="2">
        <f>Model_2!H53</f>
        <v>607.87787815278512</v>
      </c>
      <c r="H53" s="2">
        <f ca="1">Model_3!H53</f>
        <v>579.71019576315712</v>
      </c>
      <c r="I53" s="2">
        <f>Model_4!H53</f>
        <v>668.499116902369</v>
      </c>
      <c r="J53" s="2">
        <f>Model_1!I53</f>
        <v>0</v>
      </c>
      <c r="K53" s="2">
        <f>Model_2!I53</f>
        <v>0</v>
      </c>
      <c r="L53" s="2">
        <f ca="1">Model_3!I53</f>
        <v>0</v>
      </c>
      <c r="M53" s="2">
        <f>Model_4!I53</f>
        <v>18.739964676094761</v>
      </c>
      <c r="N53" s="2">
        <f>Model_1!J53</f>
        <v>1000</v>
      </c>
      <c r="O53" s="2">
        <f>Model_2!J53</f>
        <v>1600</v>
      </c>
      <c r="P53" s="2">
        <f>Model_3!J53</f>
        <v>1600</v>
      </c>
      <c r="Q53" s="2">
        <f>Model_4!J53</f>
        <v>400</v>
      </c>
      <c r="R53" s="2">
        <f>Model_1!K53</f>
        <v>2.0241905993803373</v>
      </c>
      <c r="S53" s="2">
        <f>Model_2!K53</f>
        <v>2.6321076280355329</v>
      </c>
      <c r="T53" s="2">
        <f ca="1">Model_3!K53</f>
        <v>2.75999975797163</v>
      </c>
      <c r="U53" s="2">
        <f>Model_4!K53</f>
        <v>0.59835531549164045</v>
      </c>
      <c r="V53" s="2">
        <f>Model_1!L53</f>
        <v>50</v>
      </c>
      <c r="W53" s="2">
        <f>Model_2!L53</f>
        <v>50</v>
      </c>
      <c r="X53" s="2">
        <f ca="1">Model_3!L53</f>
        <v>50</v>
      </c>
      <c r="Y53" s="2">
        <f>Model_4!L53</f>
        <v>49.999999999999993</v>
      </c>
      <c r="Z53" s="2">
        <f>Model_1!M53</f>
        <v>101.20952996901687</v>
      </c>
      <c r="AA53" s="2">
        <f>Model_2!M53</f>
        <v>131.60538140177664</v>
      </c>
      <c r="AB53" s="2">
        <f ca="1">Model_3!M53</f>
        <v>137.99998789858151</v>
      </c>
      <c r="AC53" s="2">
        <f>Model_4!M53</f>
        <v>29.917765774582019</v>
      </c>
      <c r="AD53" s="2">
        <f>Model_1!N53</f>
        <v>1.0120952996901686</v>
      </c>
      <c r="AE53" s="2">
        <f>Model_2!N53</f>
        <v>1.3160538140177664</v>
      </c>
      <c r="AF53" s="2">
        <f ca="1">Model_3!N53</f>
        <v>1.379999878985815</v>
      </c>
      <c r="AG53" s="2">
        <f>Model_4!N53</f>
        <v>0.29917765774582017</v>
      </c>
    </row>
    <row r="54" spans="1:33" x14ac:dyDescent="0.3">
      <c r="A54" s="1">
        <v>52</v>
      </c>
      <c r="B54" s="2">
        <f>Model_1!G54</f>
        <v>0.34057396783387039</v>
      </c>
      <c r="C54" s="2">
        <f>Model_2!G54</f>
        <v>0</v>
      </c>
      <c r="D54" s="2">
        <f ca="1">Model_3!G54</f>
        <v>0</v>
      </c>
      <c r="E54" s="2">
        <f>Model_4!G54</f>
        <v>0</v>
      </c>
      <c r="F54" s="2">
        <f>Model_1!H54</f>
        <v>494.38748310768722</v>
      </c>
      <c r="G54" s="2">
        <f>Model_2!H54</f>
        <v>623.04846122563788</v>
      </c>
      <c r="H54" s="2">
        <f ca="1">Model_3!H54</f>
        <v>579.71019576315712</v>
      </c>
      <c r="I54" s="2">
        <f>Model_4!H54</f>
        <v>649.75915222627418</v>
      </c>
      <c r="J54" s="2">
        <f>Model_1!I54</f>
        <v>0</v>
      </c>
      <c r="K54" s="2">
        <f>Model_2!I54</f>
        <v>4.9219384490255145</v>
      </c>
      <c r="L54" s="2">
        <f ca="1">Model_3!I54</f>
        <v>3.1884078305262848</v>
      </c>
      <c r="M54" s="2">
        <f>Model_4!I54</f>
        <v>17.990366089050969</v>
      </c>
      <c r="N54" s="2">
        <f>Model_1!J54</f>
        <v>1000</v>
      </c>
      <c r="O54" s="2">
        <f>Model_2!J54</f>
        <v>1000</v>
      </c>
      <c r="P54" s="2">
        <f>Model_3!J54</f>
        <v>1000</v>
      </c>
      <c r="Q54" s="2">
        <f>Model_4!J54</f>
        <v>400</v>
      </c>
      <c r="R54" s="2">
        <f>Model_1!K54</f>
        <v>2.0227049311889242</v>
      </c>
      <c r="S54" s="2">
        <f>Model_2!K54</f>
        <v>1.6050115877548867</v>
      </c>
      <c r="T54" s="2">
        <f ca="1">Model_3!K54</f>
        <v>1.7249998487322689</v>
      </c>
      <c r="U54" s="2">
        <f>Model_4!K54</f>
        <v>0.61561272146683477</v>
      </c>
      <c r="V54" s="2">
        <f>Model_1!L54</f>
        <v>50.000000000000014</v>
      </c>
      <c r="W54" s="2">
        <f>Model_2!L54</f>
        <v>50</v>
      </c>
      <c r="X54" s="2">
        <f ca="1">Model_3!L54</f>
        <v>50</v>
      </c>
      <c r="Y54" s="2">
        <f>Model_4!L54</f>
        <v>50</v>
      </c>
      <c r="Z54" s="2">
        <f>Model_1!M54</f>
        <v>101.13524655944624</v>
      </c>
      <c r="AA54" s="2">
        <f>Model_2!M54</f>
        <v>80.250579387744338</v>
      </c>
      <c r="AB54" s="2">
        <f ca="1">Model_3!M54</f>
        <v>86.249992436613439</v>
      </c>
      <c r="AC54" s="2">
        <f>Model_4!M54</f>
        <v>30.780636073341739</v>
      </c>
      <c r="AD54" s="2">
        <f>Model_1!N54</f>
        <v>1.0113524655944623</v>
      </c>
      <c r="AE54" s="2">
        <f>Model_2!N54</f>
        <v>0.80250579387744336</v>
      </c>
      <c r="AF54" s="2">
        <f ca="1">Model_3!N54</f>
        <v>0.86249992436613443</v>
      </c>
      <c r="AG54" s="2">
        <f>Model_4!N54</f>
        <v>0.30780636073341738</v>
      </c>
    </row>
    <row r="55" spans="1:33" x14ac:dyDescent="0.3">
      <c r="A55" s="1">
        <v>53</v>
      </c>
      <c r="B55" s="2">
        <f>Model_1!G55</f>
        <v>0.31968732210031936</v>
      </c>
      <c r="C55" s="2">
        <f>Model_2!G55</f>
        <v>0</v>
      </c>
      <c r="D55" s="2">
        <f ca="1">Model_3!G55</f>
        <v>10.903197967710875</v>
      </c>
      <c r="E55" s="2">
        <f>Model_4!G55</f>
        <v>0</v>
      </c>
      <c r="F55" s="2">
        <f>Model_1!H55</f>
        <v>494.72805707552106</v>
      </c>
      <c r="G55" s="2">
        <f>Model_2!H55</f>
        <v>618.12652277661232</v>
      </c>
      <c r="H55" s="2">
        <f ca="1">Model_3!H55</f>
        <v>576.52178793263079</v>
      </c>
      <c r="I55" s="2">
        <f>Model_4!H55</f>
        <v>631.76878613722317</v>
      </c>
      <c r="J55" s="2">
        <f>Model_1!I55</f>
        <v>0</v>
      </c>
      <c r="K55" s="2">
        <f>Model_2!I55</f>
        <v>4.7250609110644941</v>
      </c>
      <c r="L55" s="2">
        <f ca="1">Model_3!I55</f>
        <v>3.0608715173052352</v>
      </c>
      <c r="M55" s="2">
        <f>Model_4!I55</f>
        <v>17.270751445488926</v>
      </c>
      <c r="N55" s="2">
        <f>Model_1!J55</f>
        <v>1000</v>
      </c>
      <c r="O55" s="2">
        <f>Model_2!J55</f>
        <v>1000</v>
      </c>
      <c r="P55" s="2">
        <f>Model_3!J55</f>
        <v>1000</v>
      </c>
      <c r="Q55" s="2">
        <f>Model_4!J55</f>
        <v>400</v>
      </c>
      <c r="R55" s="2">
        <f>Model_1!K55</f>
        <v>2.0213124881400213</v>
      </c>
      <c r="S55" s="2">
        <f>Model_2!K55</f>
        <v>1.6177917677889302</v>
      </c>
      <c r="T55" s="2">
        <f ca="1">Model_3!K55</f>
        <v>1.7345398230064022</v>
      </c>
      <c r="U55" s="2">
        <f>Model_4!K55</f>
        <v>0.63314302443729487</v>
      </c>
      <c r="V55" s="2">
        <f>Model_1!L55</f>
        <v>50</v>
      </c>
      <c r="W55" s="2">
        <f>Model_2!L55</f>
        <v>49.999999999999993</v>
      </c>
      <c r="X55" s="2">
        <f ca="1">Model_3!L55</f>
        <v>50</v>
      </c>
      <c r="Y55" s="2">
        <f>Model_4!L55</f>
        <v>50</v>
      </c>
      <c r="Z55" s="2">
        <f>Model_1!M55</f>
        <v>101.06562440700107</v>
      </c>
      <c r="AA55" s="2">
        <f>Model_2!M55</f>
        <v>80.889588389446502</v>
      </c>
      <c r="AB55" s="2">
        <f ca="1">Model_3!M55</f>
        <v>86.726991150320103</v>
      </c>
      <c r="AC55" s="2">
        <f>Model_4!M55</f>
        <v>31.657151221864744</v>
      </c>
      <c r="AD55" s="2">
        <f>Model_1!N55</f>
        <v>1.0106562440700106</v>
      </c>
      <c r="AE55" s="2">
        <f>Model_2!N55</f>
        <v>0.80889588389446498</v>
      </c>
      <c r="AF55" s="2">
        <f ca="1">Model_3!N55</f>
        <v>0.86726991150320099</v>
      </c>
      <c r="AG55" s="2">
        <f>Model_4!N55</f>
        <v>0.31657151221864743</v>
      </c>
    </row>
    <row r="56" spans="1:33" x14ac:dyDescent="0.3">
      <c r="A56" s="1">
        <v>54</v>
      </c>
      <c r="B56" s="2">
        <f>Model_1!G56</f>
        <v>0.30010775678240398</v>
      </c>
      <c r="C56" s="2">
        <f>Model_2!G56</f>
        <v>14.60174190523357</v>
      </c>
      <c r="D56" s="2">
        <f ca="1">Model_3!G56</f>
        <v>0</v>
      </c>
      <c r="E56" s="2">
        <f>Model_4!G56</f>
        <v>0</v>
      </c>
      <c r="F56" s="2">
        <f>Model_1!H56</f>
        <v>495.04774439762139</v>
      </c>
      <c r="G56" s="2">
        <f>Model_2!H56</f>
        <v>613.40146186554784</v>
      </c>
      <c r="H56" s="2">
        <f ca="1">Model_3!H56</f>
        <v>584.36411438303639</v>
      </c>
      <c r="I56" s="2">
        <f>Model_4!H56</f>
        <v>614.49803469173423</v>
      </c>
      <c r="J56" s="2">
        <f>Model_1!I56</f>
        <v>0</v>
      </c>
      <c r="K56" s="2">
        <f>Model_2!I56</f>
        <v>0</v>
      </c>
      <c r="L56" s="2">
        <f ca="1">Model_3!I56</f>
        <v>0</v>
      </c>
      <c r="M56" s="2">
        <f>Model_4!I56</f>
        <v>16.579921387669369</v>
      </c>
      <c r="N56" s="2">
        <f>Model_1!J56</f>
        <v>1000</v>
      </c>
      <c r="O56" s="2">
        <f>Model_2!J56</f>
        <v>1600</v>
      </c>
      <c r="P56" s="2">
        <f>Model_3!J56</f>
        <v>1600</v>
      </c>
      <c r="Q56" s="2">
        <f>Model_4!J56</f>
        <v>400</v>
      </c>
      <c r="R56" s="2">
        <f>Model_1!K56</f>
        <v>2.0200071837854936</v>
      </c>
      <c r="S56" s="2">
        <f>Model_2!K56</f>
        <v>2.6084059127180654</v>
      </c>
      <c r="T56" s="2">
        <f ca="1">Model_3!K56</f>
        <v>2.7380189176901424</v>
      </c>
      <c r="U56" s="2">
        <f>Model_4!K56</f>
        <v>0.65093780194213613</v>
      </c>
      <c r="V56" s="2">
        <f>Model_1!L56</f>
        <v>50</v>
      </c>
      <c r="W56" s="2">
        <f>Model_2!L56</f>
        <v>50</v>
      </c>
      <c r="X56" s="2">
        <f ca="1">Model_3!L56</f>
        <v>50.000000000000014</v>
      </c>
      <c r="Y56" s="2">
        <f>Model_4!L56</f>
        <v>50</v>
      </c>
      <c r="Z56" s="2">
        <f>Model_1!M56</f>
        <v>101.00035918927468</v>
      </c>
      <c r="AA56" s="2">
        <f>Model_2!M56</f>
        <v>130.42029563590327</v>
      </c>
      <c r="AB56" s="2">
        <f ca="1">Model_3!M56</f>
        <v>136.90094588450717</v>
      </c>
      <c r="AC56" s="2">
        <f>Model_4!M56</f>
        <v>32.546890097106804</v>
      </c>
      <c r="AD56" s="2">
        <f>Model_1!N56</f>
        <v>1.0100035918927468</v>
      </c>
      <c r="AE56" s="2">
        <f>Model_2!N56</f>
        <v>1.3042029563590327</v>
      </c>
      <c r="AF56" s="2">
        <f ca="1">Model_3!N56</f>
        <v>1.3690094588450716</v>
      </c>
      <c r="AG56" s="2">
        <f>Model_4!N56</f>
        <v>0.32546890097106806</v>
      </c>
    </row>
    <row r="57" spans="1:33" x14ac:dyDescent="0.3">
      <c r="A57" s="1">
        <v>55</v>
      </c>
      <c r="B57" s="2">
        <f>Model_1!G57</f>
        <v>0.28175035939064452</v>
      </c>
      <c r="C57" s="2">
        <f>Model_2!G57</f>
        <v>0</v>
      </c>
      <c r="D57" s="2">
        <f ca="1">Model_3!G57</f>
        <v>0</v>
      </c>
      <c r="E57" s="2">
        <f>Model_4!G57</f>
        <v>0</v>
      </c>
      <c r="F57" s="2">
        <f>Model_1!H57</f>
        <v>495.34785215440377</v>
      </c>
      <c r="G57" s="2">
        <f>Model_2!H57</f>
        <v>628.0032037707814</v>
      </c>
      <c r="H57" s="2">
        <f ca="1">Model_3!H57</f>
        <v>584.36411438303639</v>
      </c>
      <c r="I57" s="2">
        <f>Model_4!H57</f>
        <v>597.91811330406483</v>
      </c>
      <c r="J57" s="2">
        <f>Model_1!I57</f>
        <v>0</v>
      </c>
      <c r="K57" s="2">
        <f>Model_2!I57</f>
        <v>5.1201281508312553</v>
      </c>
      <c r="L57" s="2">
        <f ca="1">Model_3!I57</f>
        <v>3.374564575321457</v>
      </c>
      <c r="M57" s="2">
        <f>Model_4!I57</f>
        <v>15.916724532162593</v>
      </c>
      <c r="N57" s="2">
        <f>Model_1!J57</f>
        <v>1000</v>
      </c>
      <c r="O57" s="2">
        <f>Model_2!J57</f>
        <v>1000</v>
      </c>
      <c r="P57" s="2">
        <f>Model_3!J57</f>
        <v>1000</v>
      </c>
      <c r="Q57" s="2">
        <f>Model_4!J57</f>
        <v>400</v>
      </c>
      <c r="R57" s="2">
        <f>Model_1!K57</f>
        <v>2.0187833572927096</v>
      </c>
      <c r="S57" s="2">
        <f>Model_2!K57</f>
        <v>1.5923485644589099</v>
      </c>
      <c r="T57" s="2">
        <f ca="1">Model_3!K57</f>
        <v>1.711261823556339</v>
      </c>
      <c r="U57" s="2">
        <f>Model_4!K57</f>
        <v>0.6689879284466238</v>
      </c>
      <c r="V57" s="2">
        <f>Model_1!L57</f>
        <v>50</v>
      </c>
      <c r="W57" s="2">
        <f>Model_2!L57</f>
        <v>50</v>
      </c>
      <c r="X57" s="2">
        <f ca="1">Model_3!L57</f>
        <v>50</v>
      </c>
      <c r="Y57" s="2">
        <f>Model_4!L57</f>
        <v>50</v>
      </c>
      <c r="Z57" s="2">
        <f>Model_1!M57</f>
        <v>100.93916786463548</v>
      </c>
      <c r="AA57" s="2">
        <f>Model_2!M57</f>
        <v>79.617428222945492</v>
      </c>
      <c r="AB57" s="2">
        <f ca="1">Model_3!M57</f>
        <v>85.563091177816958</v>
      </c>
      <c r="AC57" s="2">
        <f>Model_4!M57</f>
        <v>33.449396422331191</v>
      </c>
      <c r="AD57" s="2">
        <f>Model_1!N57</f>
        <v>1.0093916786463548</v>
      </c>
      <c r="AE57" s="2">
        <f>Model_2!N57</f>
        <v>0.79617428222945497</v>
      </c>
      <c r="AF57" s="2">
        <f ca="1">Model_3!N57</f>
        <v>0.85563091177816952</v>
      </c>
      <c r="AG57" s="2">
        <f>Model_4!N57</f>
        <v>0.3344939642233119</v>
      </c>
    </row>
    <row r="58" spans="1:33" x14ac:dyDescent="0.3">
      <c r="A58" s="1">
        <v>56</v>
      </c>
      <c r="B58" s="2">
        <f>Model_1!G58</f>
        <v>0.26453610502920055</v>
      </c>
      <c r="C58" s="2">
        <f>Model_2!G58</f>
        <v>0</v>
      </c>
      <c r="D58" s="2">
        <f ca="1">Model_3!G58</f>
        <v>4.55999854782978</v>
      </c>
      <c r="E58" s="2">
        <f>Model_4!G58</f>
        <v>0</v>
      </c>
      <c r="F58" s="2">
        <f>Model_1!H58</f>
        <v>495.6296025137944</v>
      </c>
      <c r="G58" s="2">
        <f>Model_2!H58</f>
        <v>622.88307561995009</v>
      </c>
      <c r="H58" s="2">
        <f ca="1">Model_3!H58</f>
        <v>580.98954980771498</v>
      </c>
      <c r="I58" s="2">
        <f>Model_4!H58</f>
        <v>582.00138877190227</v>
      </c>
      <c r="J58" s="2">
        <f>Model_1!I58</f>
        <v>0</v>
      </c>
      <c r="K58" s="2">
        <f>Model_2!I58</f>
        <v>16.915323024798003</v>
      </c>
      <c r="L58" s="2">
        <f ca="1">Model_3!I58</f>
        <v>15.239581992308603</v>
      </c>
      <c r="M58" s="2">
        <f>Model_4!I58</f>
        <v>15.28005555087609</v>
      </c>
      <c r="N58" s="2">
        <f>Model_1!J58</f>
        <v>1000</v>
      </c>
      <c r="O58" s="2">
        <f>Model_2!J58</f>
        <v>400</v>
      </c>
      <c r="P58" s="2">
        <f>Model_3!J58</f>
        <v>400</v>
      </c>
      <c r="Q58" s="2">
        <f>Model_4!J58</f>
        <v>400</v>
      </c>
      <c r="R58" s="2">
        <f>Model_1!K58</f>
        <v>2.0176357403352796</v>
      </c>
      <c r="S58" s="2">
        <f>Model_2!K58</f>
        <v>0.64217509779324711</v>
      </c>
      <c r="T58" s="2">
        <f ca="1">Model_3!K58</f>
        <v>0.68848054174534545</v>
      </c>
      <c r="U58" s="2">
        <f>Model_4!K58</f>
        <v>0.68728358336747508</v>
      </c>
      <c r="V58" s="2">
        <f>Model_1!L58</f>
        <v>50.000000000000014</v>
      </c>
      <c r="W58" s="2">
        <f>Model_2!L58</f>
        <v>50</v>
      </c>
      <c r="X58" s="2">
        <f ca="1">Model_3!L58</f>
        <v>50</v>
      </c>
      <c r="Y58" s="2">
        <f>Model_4!L58</f>
        <v>50.000000000000014</v>
      </c>
      <c r="Z58" s="2">
        <f>Model_1!M58</f>
        <v>100.88178701676401</v>
      </c>
      <c r="AA58" s="2">
        <f>Model_2!M58</f>
        <v>32.108754889662357</v>
      </c>
      <c r="AB58" s="2">
        <f ca="1">Model_3!M58</f>
        <v>34.42402708726727</v>
      </c>
      <c r="AC58" s="2">
        <f>Model_4!M58</f>
        <v>34.364179168373767</v>
      </c>
      <c r="AD58" s="2">
        <f>Model_1!N58</f>
        <v>1.00881787016764</v>
      </c>
      <c r="AE58" s="2">
        <f>Model_2!N58</f>
        <v>0.32108754889662355</v>
      </c>
      <c r="AF58" s="2">
        <f ca="1">Model_3!N58</f>
        <v>0.34424027087267267</v>
      </c>
      <c r="AG58" s="2">
        <f>Model_4!N58</f>
        <v>0.34364179168373765</v>
      </c>
    </row>
    <row r="59" spans="1:33" x14ac:dyDescent="0.3">
      <c r="A59" s="1">
        <v>57</v>
      </c>
      <c r="B59" s="2">
        <f>Model_1!G59</f>
        <v>0.24839140421858197</v>
      </c>
      <c r="C59" s="2">
        <f>Model_2!G59</f>
        <v>15.369708760154261</v>
      </c>
      <c r="D59" s="2">
        <f ca="1">Model_3!G59</f>
        <v>0</v>
      </c>
      <c r="E59" s="2">
        <f>Model_4!G59</f>
        <v>0</v>
      </c>
      <c r="F59" s="2">
        <f>Model_1!H59</f>
        <v>495.8941386188236</v>
      </c>
      <c r="G59" s="2">
        <f>Model_2!H59</f>
        <v>605.96775259515209</v>
      </c>
      <c r="H59" s="2">
        <f ca="1">Model_3!H59</f>
        <v>570.30996636323619</v>
      </c>
      <c r="I59" s="2">
        <f>Model_4!H59</f>
        <v>566.72133322102616</v>
      </c>
      <c r="J59" s="2">
        <f>Model_1!I59</f>
        <v>0</v>
      </c>
      <c r="K59" s="2">
        <f>Model_2!I59</f>
        <v>0</v>
      </c>
      <c r="L59" s="2">
        <f ca="1">Model_3!I59</f>
        <v>0</v>
      </c>
      <c r="M59" s="2">
        <f>Model_4!I59</f>
        <v>14.668853328841044</v>
      </c>
      <c r="N59" s="2">
        <f>Model_1!J59</f>
        <v>1000</v>
      </c>
      <c r="O59" s="2">
        <f>Model_2!J59</f>
        <v>1600</v>
      </c>
      <c r="P59" s="2">
        <f>Model_3!J59</f>
        <v>1600</v>
      </c>
      <c r="Q59" s="2">
        <f>Model_4!J59</f>
        <v>400</v>
      </c>
      <c r="R59" s="2">
        <f>Model_1!K59</f>
        <v>2.016559426947905</v>
      </c>
      <c r="S59" s="2">
        <f>Model_2!K59</f>
        <v>2.6404045316730942</v>
      </c>
      <c r="T59" s="2">
        <f ca="1">Model_3!K59</f>
        <v>2.8054919155681453</v>
      </c>
      <c r="U59" s="2">
        <f>Model_4!K59</f>
        <v>0.70581426276394754</v>
      </c>
      <c r="V59" s="2">
        <f>Model_1!L59</f>
        <v>50.000000000000014</v>
      </c>
      <c r="W59" s="2">
        <f>Model_2!L59</f>
        <v>50</v>
      </c>
      <c r="X59" s="2">
        <f ca="1">Model_3!L59</f>
        <v>50</v>
      </c>
      <c r="Y59" s="2">
        <f>Model_4!L59</f>
        <v>49.999999999999993</v>
      </c>
      <c r="Z59" s="2">
        <f>Model_1!M59</f>
        <v>100.82797134739528</v>
      </c>
      <c r="AA59" s="2">
        <f>Model_2!M59</f>
        <v>132.0202265836547</v>
      </c>
      <c r="AB59" s="2">
        <f ca="1">Model_3!M59</f>
        <v>140.27459577840727</v>
      </c>
      <c r="AC59" s="2">
        <f>Model_4!M59</f>
        <v>35.290713138197376</v>
      </c>
      <c r="AD59" s="2">
        <f>Model_1!N59</f>
        <v>1.0082797134739527</v>
      </c>
      <c r="AE59" s="2">
        <f>Model_2!N59</f>
        <v>1.3202022658365471</v>
      </c>
      <c r="AF59" s="2">
        <f ca="1">Model_3!N59</f>
        <v>1.4027459577840728</v>
      </c>
      <c r="AG59" s="2">
        <f>Model_4!N59</f>
        <v>0.35290713138197377</v>
      </c>
    </row>
    <row r="60" spans="1:33" x14ac:dyDescent="0.3">
      <c r="A60" s="1">
        <v>58</v>
      </c>
      <c r="B60" s="2">
        <f>Model_1!G60</f>
        <v>0.23324769054440919</v>
      </c>
      <c r="C60" s="2">
        <f>Model_2!G60</f>
        <v>0</v>
      </c>
      <c r="D60" s="2">
        <f ca="1">Model_3!G60</f>
        <v>0</v>
      </c>
      <c r="E60" s="2">
        <f>Model_4!G60</f>
        <v>0</v>
      </c>
      <c r="F60" s="2">
        <f>Model_1!H60</f>
        <v>496.14253002304218</v>
      </c>
      <c r="G60" s="2">
        <f>Model_2!H60</f>
        <v>621.33746135530635</v>
      </c>
      <c r="H60" s="2">
        <f ca="1">Model_3!H60</f>
        <v>570.30996636323619</v>
      </c>
      <c r="I60" s="2">
        <f>Model_4!H60</f>
        <v>552.05247989218515</v>
      </c>
      <c r="J60" s="2">
        <f>Model_1!I60</f>
        <v>0</v>
      </c>
      <c r="K60" s="2">
        <f>Model_2!I60</f>
        <v>4.8534984542122528</v>
      </c>
      <c r="L60" s="2">
        <f ca="1">Model_3!I60</f>
        <v>2.8123986545294475</v>
      </c>
      <c r="M60" s="2">
        <f>Model_4!I60</f>
        <v>14.082099195687405</v>
      </c>
      <c r="N60" s="2">
        <f>Model_1!J60</f>
        <v>1000</v>
      </c>
      <c r="O60" s="2">
        <f>Model_2!J60</f>
        <v>1000</v>
      </c>
      <c r="P60" s="2">
        <f>Model_3!J60</f>
        <v>1000</v>
      </c>
      <c r="Q60" s="2">
        <f>Model_4!J60</f>
        <v>400</v>
      </c>
      <c r="R60" s="2">
        <f>Model_1!K60</f>
        <v>2.0155498460362939</v>
      </c>
      <c r="S60" s="2">
        <f>Model_2!K60</f>
        <v>1.6094313673261025</v>
      </c>
      <c r="T60" s="2">
        <f ca="1">Model_3!K60</f>
        <v>1.7534324472300908</v>
      </c>
      <c r="U60" s="2">
        <f>Model_4!K60</f>
        <v>0.72456879476045333</v>
      </c>
      <c r="V60" s="2">
        <f>Model_1!L60</f>
        <v>50</v>
      </c>
      <c r="W60" s="2">
        <f>Model_2!L60</f>
        <v>50</v>
      </c>
      <c r="X60" s="2">
        <f ca="1">Model_3!L60</f>
        <v>50</v>
      </c>
      <c r="Y60" s="2">
        <f>Model_4!L60</f>
        <v>50</v>
      </c>
      <c r="Z60" s="2">
        <f>Model_1!M60</f>
        <v>100.7774923018147</v>
      </c>
      <c r="AA60" s="2">
        <f>Model_2!M60</f>
        <v>80.471568366305121</v>
      </c>
      <c r="AB60" s="2">
        <f ca="1">Model_3!M60</f>
        <v>87.671622361504546</v>
      </c>
      <c r="AC60" s="2">
        <f>Model_4!M60</f>
        <v>36.228439738022665</v>
      </c>
      <c r="AD60" s="2">
        <f>Model_1!N60</f>
        <v>1.007774923018147</v>
      </c>
      <c r="AE60" s="2">
        <f>Model_2!N60</f>
        <v>0.80471568366305124</v>
      </c>
      <c r="AF60" s="2">
        <f ca="1">Model_3!N60</f>
        <v>0.87671622361504542</v>
      </c>
      <c r="AG60" s="2">
        <f>Model_4!N60</f>
        <v>0.36228439738022666</v>
      </c>
    </row>
    <row r="61" spans="1:33" x14ac:dyDescent="0.3">
      <c r="A61" s="1">
        <v>59</v>
      </c>
      <c r="B61" s="2">
        <f>Model_1!G61</f>
        <v>0.21904104405178648</v>
      </c>
      <c r="C61" s="2">
        <f>Model_2!G61</f>
        <v>0</v>
      </c>
      <c r="D61" s="2">
        <f ca="1">Model_3!G61</f>
        <v>11.07028376535215</v>
      </c>
      <c r="E61" s="2">
        <f>Model_4!G61</f>
        <v>0</v>
      </c>
      <c r="F61" s="2">
        <f>Model_1!H61</f>
        <v>496.37577771358661</v>
      </c>
      <c r="G61" s="2">
        <f>Model_2!H61</f>
        <v>616.48396290109406</v>
      </c>
      <c r="H61" s="2">
        <f ca="1">Model_3!H61</f>
        <v>567.4975677087067</v>
      </c>
      <c r="I61" s="2">
        <f>Model_4!H61</f>
        <v>537.97038069649773</v>
      </c>
      <c r="J61" s="2">
        <f>Model_1!I61</f>
        <v>0</v>
      </c>
      <c r="K61" s="2">
        <f>Model_2!I61</f>
        <v>4.6593585160437581</v>
      </c>
      <c r="L61" s="2">
        <f ca="1">Model_3!I61</f>
        <v>2.6999027083482687</v>
      </c>
      <c r="M61" s="2">
        <f>Model_4!I61</f>
        <v>13.518815227859909</v>
      </c>
      <c r="N61" s="2">
        <f>Model_1!J61</f>
        <v>1000</v>
      </c>
      <c r="O61" s="2">
        <f>Model_2!J61</f>
        <v>1000</v>
      </c>
      <c r="P61" s="2">
        <f>Model_3!J61</f>
        <v>1000</v>
      </c>
      <c r="Q61" s="2">
        <f>Model_4!J61</f>
        <v>400</v>
      </c>
      <c r="R61" s="2">
        <f>Model_1!K61</f>
        <v>2.0146027362701191</v>
      </c>
      <c r="S61" s="2">
        <f>Model_2!K61</f>
        <v>1.6221022121875301</v>
      </c>
      <c r="T61" s="2">
        <f ca="1">Model_3!K61</f>
        <v>1.7621220898576508</v>
      </c>
      <c r="U61" s="2">
        <f>Model_4!K61</f>
        <v>0.7435353587350465</v>
      </c>
      <c r="V61" s="2">
        <f>Model_1!L61</f>
        <v>50</v>
      </c>
      <c r="W61" s="2">
        <f>Model_2!L61</f>
        <v>50.000000000000014</v>
      </c>
      <c r="X61" s="2">
        <f ca="1">Model_3!L61</f>
        <v>50</v>
      </c>
      <c r="Y61" s="2">
        <f>Model_4!L61</f>
        <v>50</v>
      </c>
      <c r="Z61" s="2">
        <f>Model_1!M61</f>
        <v>100.73013681350595</v>
      </c>
      <c r="AA61" s="2">
        <f>Model_2!M61</f>
        <v>81.105110609376524</v>
      </c>
      <c r="AB61" s="2">
        <f ca="1">Model_3!M61</f>
        <v>88.106104492882537</v>
      </c>
      <c r="AC61" s="2">
        <f>Model_4!M61</f>
        <v>37.176767936752327</v>
      </c>
      <c r="AD61" s="2">
        <f>Model_1!N61</f>
        <v>1.0073013681350595</v>
      </c>
      <c r="AE61" s="2">
        <f>Model_2!N61</f>
        <v>0.81105110609376529</v>
      </c>
      <c r="AF61" s="2">
        <f ca="1">Model_3!N61</f>
        <v>0.88106104492882542</v>
      </c>
      <c r="AG61" s="2">
        <f>Model_4!N61</f>
        <v>0.37176767936752325</v>
      </c>
    </row>
    <row r="62" spans="1:33" x14ac:dyDescent="0.3">
      <c r="A62" s="1">
        <v>60</v>
      </c>
      <c r="B62" s="2">
        <f>Model_1!G62</f>
        <v>0.20571184678570775</v>
      </c>
      <c r="C62" s="2">
        <f>Model_2!G62</f>
        <v>14.763085571879106</v>
      </c>
      <c r="D62" s="2">
        <f ca="1">Model_3!G62</f>
        <v>0</v>
      </c>
      <c r="E62" s="2">
        <f>Model_4!G62</f>
        <v>0</v>
      </c>
      <c r="F62" s="2">
        <f>Model_1!H62</f>
        <v>496.59481875763839</v>
      </c>
      <c r="G62" s="2">
        <f>Model_2!H62</f>
        <v>611.82460438505029</v>
      </c>
      <c r="H62" s="2">
        <f ca="1">Model_3!H62</f>
        <v>575.86794876571059</v>
      </c>
      <c r="I62" s="2">
        <f>Model_4!H62</f>
        <v>524.4515654686378</v>
      </c>
      <c r="J62" s="2">
        <f>Model_1!I62</f>
        <v>0</v>
      </c>
      <c r="K62" s="2">
        <f>Model_2!I62</f>
        <v>0</v>
      </c>
      <c r="L62" s="2">
        <f ca="1">Model_3!I62</f>
        <v>0</v>
      </c>
      <c r="M62" s="2">
        <f>Model_4!I62</f>
        <v>12.978062618745511</v>
      </c>
      <c r="N62" s="2">
        <f>Model_1!J62</f>
        <v>1000</v>
      </c>
      <c r="O62" s="2">
        <f>Model_2!J62</f>
        <v>1600</v>
      </c>
      <c r="P62" s="2">
        <f>Model_3!J62</f>
        <v>1600</v>
      </c>
      <c r="Q62" s="2">
        <f>Model_4!J62</f>
        <v>400</v>
      </c>
      <c r="R62" s="2">
        <f>Model_1!K62</f>
        <v>2.0137141231190472</v>
      </c>
      <c r="S62" s="2">
        <f>Model_2!K62</f>
        <v>2.6151285654949632</v>
      </c>
      <c r="T62" s="2">
        <f ca="1">Model_3!K62</f>
        <v>2.7784147449590968</v>
      </c>
      <c r="U62" s="2">
        <f>Model_4!K62</f>
        <v>0.76270150827478078</v>
      </c>
      <c r="V62" s="2">
        <f>Model_1!L62</f>
        <v>50</v>
      </c>
      <c r="W62" s="2">
        <f>Model_2!L62</f>
        <v>50</v>
      </c>
      <c r="X62" s="2">
        <f ca="1">Model_3!L62</f>
        <v>50</v>
      </c>
      <c r="Y62" s="2">
        <f>Model_4!L62</f>
        <v>50</v>
      </c>
      <c r="Z62" s="2">
        <f>Model_1!M62</f>
        <v>100.68570615595236</v>
      </c>
      <c r="AA62" s="2">
        <f>Model_2!M62</f>
        <v>130.75642827474815</v>
      </c>
      <c r="AB62" s="2">
        <f ca="1">Model_3!M62</f>
        <v>138.92073724795483</v>
      </c>
      <c r="AC62" s="2">
        <f>Model_4!M62</f>
        <v>38.135075413739038</v>
      </c>
      <c r="AD62" s="2">
        <f>Model_1!N62</f>
        <v>1.0068570615595236</v>
      </c>
      <c r="AE62" s="2">
        <f>Model_2!N62</f>
        <v>1.3075642827474814</v>
      </c>
      <c r="AF62" s="2">
        <f ca="1">Model_3!N62</f>
        <v>1.3892073724795484</v>
      </c>
      <c r="AG62" s="2">
        <f>Model_4!N62</f>
        <v>0.38135075413739039</v>
      </c>
    </row>
    <row r="63" spans="1:33" x14ac:dyDescent="0.3">
      <c r="A63" s="1">
        <v>61</v>
      </c>
      <c r="B63" s="2">
        <f>Model_1!G63</f>
        <v>0.193204467294954</v>
      </c>
      <c r="C63" s="2">
        <f>Model_2!G63</f>
        <v>0</v>
      </c>
      <c r="D63" s="2">
        <f ca="1">Model_3!G63</f>
        <v>0</v>
      </c>
      <c r="E63" s="2">
        <f>Model_4!G63</f>
        <v>27.077202994950969</v>
      </c>
      <c r="F63" s="2">
        <f>Model_1!H63</f>
        <v>496.80053060442413</v>
      </c>
      <c r="G63" s="2">
        <f>Model_2!H63</f>
        <v>626.58768995692935</v>
      </c>
      <c r="H63" s="2">
        <f ca="1">Model_3!H63</f>
        <v>575.86794876571059</v>
      </c>
      <c r="I63" s="2">
        <f>Model_4!H63</f>
        <v>511.47350284989227</v>
      </c>
      <c r="J63" s="2">
        <f>Model_1!I63</f>
        <v>0</v>
      </c>
      <c r="K63" s="2">
        <f>Model_2!I63</f>
        <v>5.0635075982771731</v>
      </c>
      <c r="L63" s="2">
        <f ca="1">Model_3!I63</f>
        <v>3.0347179506284232</v>
      </c>
      <c r="M63" s="2">
        <f>Model_4!I63</f>
        <v>0</v>
      </c>
      <c r="N63" s="2">
        <f>Model_1!J63</f>
        <v>1000</v>
      </c>
      <c r="O63" s="2">
        <f>Model_2!J63</f>
        <v>1000</v>
      </c>
      <c r="P63" s="2">
        <f>Model_3!J63</f>
        <v>1000</v>
      </c>
      <c r="Q63" s="2">
        <f>Model_4!J63</f>
        <v>1600</v>
      </c>
      <c r="R63" s="2">
        <f>Model_1!K63</f>
        <v>2.0128802978196632</v>
      </c>
      <c r="S63" s="2">
        <f>Model_2!K63</f>
        <v>1.5959458125785051</v>
      </c>
      <c r="T63" s="2">
        <f ca="1">Model_3!K63</f>
        <v>1.7365092155994355</v>
      </c>
      <c r="U63" s="2">
        <f>Model_4!K63</f>
        <v>3</v>
      </c>
      <c r="V63" s="2">
        <f>Model_1!L63</f>
        <v>50.000000000000014</v>
      </c>
      <c r="W63" s="2">
        <f>Model_2!L63</f>
        <v>50</v>
      </c>
      <c r="X63" s="2">
        <f ca="1">Model_3!L63</f>
        <v>50</v>
      </c>
      <c r="Y63" s="2">
        <f>Model_4!L63</f>
        <v>52.136946524271508</v>
      </c>
      <c r="Z63" s="2">
        <f>Model_1!M63</f>
        <v>100.64401489098319</v>
      </c>
      <c r="AA63" s="2">
        <f>Model_2!M63</f>
        <v>79.797290628925253</v>
      </c>
      <c r="AB63" s="2">
        <f ca="1">Model_3!M63</f>
        <v>86.825460779971777</v>
      </c>
      <c r="AC63" s="2">
        <f>Model_4!M63</f>
        <v>156.41083957281452</v>
      </c>
      <c r="AD63" s="2">
        <f>Model_1!N63</f>
        <v>1.0064401489098318</v>
      </c>
      <c r="AE63" s="2">
        <f>Model_2!N63</f>
        <v>0.79797290628925255</v>
      </c>
      <c r="AF63" s="2">
        <f ca="1">Model_3!N63</f>
        <v>0.86825460779971775</v>
      </c>
      <c r="AG63" s="2">
        <f>Model_4!N63</f>
        <v>1.5641083957281452</v>
      </c>
    </row>
    <row r="64" spans="1:33" x14ac:dyDescent="0.3">
      <c r="A64" s="1">
        <v>62</v>
      </c>
      <c r="B64" s="2">
        <f>Model_1!G64</f>
        <v>0.18146697127965794</v>
      </c>
      <c r="C64" s="2">
        <f>Model_2!G64</f>
        <v>0</v>
      </c>
      <c r="D64" s="2">
        <f ca="1">Model_3!G64</f>
        <v>12.082378733522185</v>
      </c>
      <c r="E64" s="2">
        <f>Model_4!G64</f>
        <v>23.302478268523632</v>
      </c>
      <c r="F64" s="2">
        <f>Model_1!H64</f>
        <v>496.99373507171907</v>
      </c>
      <c r="G64" s="2">
        <f>Model_2!H64</f>
        <v>621.52418235865218</v>
      </c>
      <c r="H64" s="2">
        <f ca="1">Model_3!H64</f>
        <v>572.83323081508217</v>
      </c>
      <c r="I64" s="2">
        <f>Model_4!H64</f>
        <v>538.55070584484326</v>
      </c>
      <c r="J64" s="2">
        <f>Model_1!I64</f>
        <v>0</v>
      </c>
      <c r="K64" s="2">
        <f>Model_2!I64</f>
        <v>4.8609672943460867</v>
      </c>
      <c r="L64" s="2">
        <f ca="1">Model_3!I64</f>
        <v>2.9133292326032874</v>
      </c>
      <c r="M64" s="2">
        <f>Model_4!I64</f>
        <v>0</v>
      </c>
      <c r="N64" s="2">
        <f>Model_1!J64</f>
        <v>1000</v>
      </c>
      <c r="O64" s="2">
        <f>Model_2!J64</f>
        <v>1000</v>
      </c>
      <c r="P64" s="2">
        <f>Model_3!J64</f>
        <v>1000</v>
      </c>
      <c r="Q64" s="2">
        <f>Model_4!J64</f>
        <v>1600</v>
      </c>
      <c r="R64" s="2">
        <f>Model_1!K64</f>
        <v>2.0120977980853101</v>
      </c>
      <c r="S64" s="2">
        <f>Model_2!K64</f>
        <v>1.6089478549411411</v>
      </c>
      <c r="T64" s="2">
        <f ca="1">Model_3!K64</f>
        <v>1.7457087791102899</v>
      </c>
      <c r="U64" s="2">
        <f>Model_4!K64</f>
        <v>2.970936594521818</v>
      </c>
      <c r="V64" s="2">
        <f>Model_1!L64</f>
        <v>50.000000000000014</v>
      </c>
      <c r="W64" s="2">
        <f>Model_2!L64</f>
        <v>50</v>
      </c>
      <c r="X64" s="2">
        <f ca="1">Model_3!L64</f>
        <v>50</v>
      </c>
      <c r="Y64" s="2">
        <f>Model_4!L64</f>
        <v>50</v>
      </c>
      <c r="Z64" s="2">
        <f>Model_1!M64</f>
        <v>100.60488990426553</v>
      </c>
      <c r="AA64" s="2">
        <f>Model_2!M64</f>
        <v>80.447392747057052</v>
      </c>
      <c r="AB64" s="2">
        <f ca="1">Model_3!M64</f>
        <v>87.285438955514493</v>
      </c>
      <c r="AC64" s="2">
        <f>Model_4!M64</f>
        <v>148.54682972609089</v>
      </c>
      <c r="AD64" s="2">
        <f>Model_1!N64</f>
        <v>1.0060488990426553</v>
      </c>
      <c r="AE64" s="2">
        <f>Model_2!N64</f>
        <v>0.80447392747057056</v>
      </c>
      <c r="AF64" s="2">
        <f ca="1">Model_3!N64</f>
        <v>0.87285438955514494</v>
      </c>
      <c r="AG64" s="2">
        <f>Model_4!N64</f>
        <v>1.485468297260909</v>
      </c>
    </row>
    <row r="65" spans="1:33" x14ac:dyDescent="0.3">
      <c r="A65" s="1">
        <v>63</v>
      </c>
      <c r="B65" s="2">
        <f>Model_1!G65</f>
        <v>0.17045085587898523</v>
      </c>
      <c r="C65" s="2">
        <f>Model_2!G65</f>
        <v>14.270618810943056</v>
      </c>
      <c r="D65" s="2">
        <f ca="1">Model_3!G65</f>
        <v>0</v>
      </c>
      <c r="E65" s="2">
        <f>Model_4!G65</f>
        <v>20.345256529242903</v>
      </c>
      <c r="F65" s="2">
        <f>Model_1!H65</f>
        <v>497.17520204299871</v>
      </c>
      <c r="G65" s="2">
        <f>Model_2!H65</f>
        <v>616.66321506430609</v>
      </c>
      <c r="H65" s="2">
        <f ca="1">Model_3!H65</f>
        <v>582.00228031600102</v>
      </c>
      <c r="I65" s="2">
        <f>Model_4!H65</f>
        <v>561.85318411336686</v>
      </c>
      <c r="J65" s="2">
        <f>Model_1!I65</f>
        <v>0</v>
      </c>
      <c r="K65" s="2">
        <f>Model_2!I65</f>
        <v>0</v>
      </c>
      <c r="L65" s="2">
        <f ca="1">Model_3!I65</f>
        <v>0</v>
      </c>
      <c r="M65" s="2">
        <f>Model_4!I65</f>
        <v>0</v>
      </c>
      <c r="N65" s="2">
        <f>Model_1!J65</f>
        <v>1000</v>
      </c>
      <c r="O65" s="2">
        <f>Model_2!J65</f>
        <v>1600</v>
      </c>
      <c r="P65" s="2">
        <f>Model_3!J65</f>
        <v>1600</v>
      </c>
      <c r="Q65" s="2">
        <f>Model_4!J65</f>
        <v>1600</v>
      </c>
      <c r="R65" s="2">
        <f>Model_1!K65</f>
        <v>2.0113633903919328</v>
      </c>
      <c r="S65" s="2">
        <f>Model_2!K65</f>
        <v>2.5946091171226273</v>
      </c>
      <c r="T65" s="2">
        <f ca="1">Model_3!K65</f>
        <v>2.7491301221900231</v>
      </c>
      <c r="U65" s="2">
        <f>Model_4!K65</f>
        <v>2.8477190220517876</v>
      </c>
      <c r="V65" s="2">
        <f>Model_1!L65</f>
        <v>49.999999999999993</v>
      </c>
      <c r="W65" s="2">
        <f>Model_2!L65</f>
        <v>50</v>
      </c>
      <c r="X65" s="2">
        <f ca="1">Model_3!L65</f>
        <v>50</v>
      </c>
      <c r="Y65" s="2">
        <f>Model_4!L65</f>
        <v>50</v>
      </c>
      <c r="Z65" s="2">
        <f>Model_1!M65</f>
        <v>100.56816951959662</v>
      </c>
      <c r="AA65" s="2">
        <f>Model_2!M65</f>
        <v>129.73045585613136</v>
      </c>
      <c r="AB65" s="2">
        <f ca="1">Model_3!M65</f>
        <v>137.45650610950116</v>
      </c>
      <c r="AC65" s="2">
        <f>Model_4!M65</f>
        <v>142.38595110258939</v>
      </c>
      <c r="AD65" s="2">
        <f>Model_1!N65</f>
        <v>1.0056816951959662</v>
      </c>
      <c r="AE65" s="2">
        <f>Model_2!N65</f>
        <v>1.2973045585613137</v>
      </c>
      <c r="AF65" s="2">
        <f ca="1">Model_3!N65</f>
        <v>1.3745650610950115</v>
      </c>
      <c r="AG65" s="2">
        <f>Model_4!N65</f>
        <v>1.4238595110258938</v>
      </c>
    </row>
    <row r="66" spans="1:33" x14ac:dyDescent="0.3">
      <c r="A66" s="1">
        <v>64</v>
      </c>
      <c r="B66" s="2">
        <f>Model_1!G66</f>
        <v>0.16011080537152722</v>
      </c>
      <c r="C66" s="2">
        <f>Model_2!G66</f>
        <v>0</v>
      </c>
      <c r="D66" s="2">
        <f ca="1">Model_3!G66</f>
        <v>0</v>
      </c>
      <c r="E66" s="2">
        <f>Model_4!G66</f>
        <v>17.956892563325074</v>
      </c>
      <c r="F66" s="2">
        <f>Model_1!H66</f>
        <v>497.34565289887769</v>
      </c>
      <c r="G66" s="2">
        <f>Model_2!H66</f>
        <v>630.93383387524909</v>
      </c>
      <c r="H66" s="2">
        <f ca="1">Model_3!H66</f>
        <v>582.00228031600102</v>
      </c>
      <c r="I66" s="2">
        <f>Model_4!H66</f>
        <v>582.19844064260974</v>
      </c>
      <c r="J66" s="2">
        <f>Model_1!I66</f>
        <v>0</v>
      </c>
      <c r="K66" s="2">
        <f>Model_2!I66</f>
        <v>5.2373533550099625</v>
      </c>
      <c r="L66" s="2">
        <f ca="1">Model_3!I66</f>
        <v>3.2800912126400421</v>
      </c>
      <c r="M66" s="2">
        <f>Model_4!I66</f>
        <v>0</v>
      </c>
      <c r="N66" s="2">
        <f>Model_1!J66</f>
        <v>1000</v>
      </c>
      <c r="O66" s="2">
        <f>Model_2!J66</f>
        <v>1000</v>
      </c>
      <c r="P66" s="2">
        <f>Model_3!J66</f>
        <v>1000</v>
      </c>
      <c r="Q66" s="2">
        <f>Model_4!J66</f>
        <v>1600</v>
      </c>
      <c r="R66" s="2">
        <f>Model_1!K66</f>
        <v>2.0106740536914356</v>
      </c>
      <c r="S66" s="2">
        <f>Model_2!K66</f>
        <v>1.584952250631283</v>
      </c>
      <c r="T66" s="2">
        <f ca="1">Model_3!K66</f>
        <v>1.7182063263687646</v>
      </c>
      <c r="U66" s="2">
        <f>Model_4!K66</f>
        <v>2.7482038568052114</v>
      </c>
      <c r="V66" s="2">
        <f>Model_1!L66</f>
        <v>49.999999999999993</v>
      </c>
      <c r="W66" s="2">
        <f>Model_2!L66</f>
        <v>49.999999999999993</v>
      </c>
      <c r="X66" s="2">
        <f ca="1">Model_3!L66</f>
        <v>49.999999999999993</v>
      </c>
      <c r="Y66" s="2">
        <f>Model_4!L66</f>
        <v>50</v>
      </c>
      <c r="Z66" s="2">
        <f>Model_1!M66</f>
        <v>100.53370268457176</v>
      </c>
      <c r="AA66" s="2">
        <f>Model_2!M66</f>
        <v>79.247612531564144</v>
      </c>
      <c r="AB66" s="2">
        <f ca="1">Model_3!M66</f>
        <v>85.91031631843822</v>
      </c>
      <c r="AC66" s="2">
        <f>Model_4!M66</f>
        <v>137.41019284026058</v>
      </c>
      <c r="AD66" s="2">
        <f>Model_1!N66</f>
        <v>1.0053370268457176</v>
      </c>
      <c r="AE66" s="2">
        <f>Model_2!N66</f>
        <v>0.79247612531564149</v>
      </c>
      <c r="AF66" s="2">
        <f ca="1">Model_3!N66</f>
        <v>0.85910316318438218</v>
      </c>
      <c r="AG66" s="2">
        <f>Model_4!N66</f>
        <v>1.3741019284026057</v>
      </c>
    </row>
    <row r="67" spans="1:33" x14ac:dyDescent="0.3">
      <c r="A67" s="1">
        <v>65</v>
      </c>
      <c r="B67" s="2">
        <f>Model_1!G67</f>
        <v>0.15040446630284032</v>
      </c>
      <c r="C67" s="2">
        <f>Model_2!G67</f>
        <v>0</v>
      </c>
      <c r="D67" s="2">
        <f ca="1">Model_3!G67</f>
        <v>11.676221174386452</v>
      </c>
      <c r="E67" s="2">
        <f>Model_4!G67</f>
        <v>15.983435413084262</v>
      </c>
      <c r="F67" s="2">
        <f>Model_1!H67</f>
        <v>497.5057637042492</v>
      </c>
      <c r="G67" s="2">
        <f>Model_2!H67</f>
        <v>625.69648052023911</v>
      </c>
      <c r="H67" s="2">
        <f ca="1">Model_3!H67</f>
        <v>578.72218910336096</v>
      </c>
      <c r="I67" s="2">
        <f>Model_4!H67</f>
        <v>600.15533320593477</v>
      </c>
      <c r="J67" s="2">
        <f>Model_1!I67</f>
        <v>0</v>
      </c>
      <c r="K67" s="2">
        <f>Model_2!I67</f>
        <v>5.0278592208095638</v>
      </c>
      <c r="L67" s="2">
        <f ca="1">Model_3!I67</f>
        <v>3.1488875641344345</v>
      </c>
      <c r="M67" s="2">
        <f>Model_4!I67</f>
        <v>0</v>
      </c>
      <c r="N67" s="2">
        <f>Model_1!J67</f>
        <v>1000</v>
      </c>
      <c r="O67" s="2">
        <f>Model_2!J67</f>
        <v>1000</v>
      </c>
      <c r="P67" s="2">
        <f>Model_3!J67</f>
        <v>1000</v>
      </c>
      <c r="Q67" s="2">
        <f>Model_4!J67</f>
        <v>1600</v>
      </c>
      <c r="R67" s="2">
        <f>Model_1!K67</f>
        <v>2.0100269644201894</v>
      </c>
      <c r="S67" s="2">
        <f>Model_2!K67</f>
        <v>1.5982189945651348</v>
      </c>
      <c r="T67" s="2">
        <f ca="1">Model_3!K67</f>
        <v>1.7279448046554819</v>
      </c>
      <c r="U67" s="2">
        <f>Model_4!K67</f>
        <v>2.665976475545178</v>
      </c>
      <c r="V67" s="2">
        <f>Model_1!L67</f>
        <v>50</v>
      </c>
      <c r="W67" s="2">
        <f>Model_2!L67</f>
        <v>50</v>
      </c>
      <c r="X67" s="2">
        <f ca="1">Model_3!L67</f>
        <v>50.000000000000014</v>
      </c>
      <c r="Y67" s="2">
        <f>Model_4!L67</f>
        <v>50</v>
      </c>
      <c r="Z67" s="2">
        <f>Model_1!M67</f>
        <v>100.50134822100947</v>
      </c>
      <c r="AA67" s="2">
        <f>Model_2!M67</f>
        <v>79.910949728256739</v>
      </c>
      <c r="AB67" s="2">
        <f ca="1">Model_3!M67</f>
        <v>86.397240232774124</v>
      </c>
      <c r="AC67" s="2">
        <f>Model_4!M67</f>
        <v>133.29882377725889</v>
      </c>
      <c r="AD67" s="2">
        <f>Model_1!N67</f>
        <v>1.0050134822100947</v>
      </c>
      <c r="AE67" s="2">
        <f>Model_2!N67</f>
        <v>0.79910949728256742</v>
      </c>
      <c r="AF67" s="2">
        <f ca="1">Model_3!N67</f>
        <v>0.8639724023277412</v>
      </c>
      <c r="AG67" s="2">
        <f>Model_4!N67</f>
        <v>1.3329882377725888</v>
      </c>
    </row>
    <row r="68" spans="1:33" x14ac:dyDescent="0.3">
      <c r="A68" s="1">
        <v>66</v>
      </c>
      <c r="B68" s="2">
        <f>Model_1!G68</f>
        <v>0.14129224026686371</v>
      </c>
      <c r="C68" s="2">
        <f>Model_2!G68</f>
        <v>13.868763269530046</v>
      </c>
      <c r="D68" s="2">
        <f ca="1">Model_3!G68</f>
        <v>0</v>
      </c>
      <c r="E68" s="2">
        <f>Model_4!G68</f>
        <v>14.32362246262759</v>
      </c>
      <c r="F68" s="2">
        <f>Model_1!H68</f>
        <v>497.65616817055206</v>
      </c>
      <c r="G68" s="2">
        <f>Model_2!H68</f>
        <v>620.66862129942956</v>
      </c>
      <c r="H68" s="2">
        <f ca="1">Model_3!H68</f>
        <v>587.24952271361303</v>
      </c>
      <c r="I68" s="2">
        <f>Model_4!H68</f>
        <v>616.13876861901906</v>
      </c>
      <c r="J68" s="2">
        <f>Model_1!I68</f>
        <v>0</v>
      </c>
      <c r="K68" s="2">
        <f>Model_2!I68</f>
        <v>0</v>
      </c>
      <c r="L68" s="2">
        <f ca="1">Model_3!I68</f>
        <v>0</v>
      </c>
      <c r="M68" s="2">
        <f>Model_4!I68</f>
        <v>0</v>
      </c>
      <c r="N68" s="2">
        <f>Model_1!J68</f>
        <v>1000</v>
      </c>
      <c r="O68" s="2">
        <f>Model_2!J68</f>
        <v>1600</v>
      </c>
      <c r="P68" s="2">
        <f>Model_3!J68</f>
        <v>1600</v>
      </c>
      <c r="Q68" s="2">
        <f>Model_4!J68</f>
        <v>1600</v>
      </c>
      <c r="R68" s="2">
        <f>Model_1!K68</f>
        <v>2.0094194826844571</v>
      </c>
      <c r="S68" s="2">
        <f>Model_2!K68</f>
        <v>2.5778651362304186</v>
      </c>
      <c r="T68" s="2">
        <f ca="1">Model_3!K68</f>
        <v>2.7245658584899015</v>
      </c>
      <c r="U68" s="2">
        <f>Model_4!K68</f>
        <v>2.5968176026094829</v>
      </c>
      <c r="V68" s="2">
        <f>Model_1!L68</f>
        <v>50.000000000000014</v>
      </c>
      <c r="W68" s="2">
        <f>Model_2!L68</f>
        <v>50</v>
      </c>
      <c r="X68" s="2">
        <f ca="1">Model_3!L68</f>
        <v>50</v>
      </c>
      <c r="Y68" s="2">
        <f>Model_4!L68</f>
        <v>50</v>
      </c>
      <c r="Z68" s="2">
        <f>Model_1!M68</f>
        <v>100.47097413422289</v>
      </c>
      <c r="AA68" s="2">
        <f>Model_2!M68</f>
        <v>128.89325681152093</v>
      </c>
      <c r="AB68" s="2">
        <f ca="1">Model_3!M68</f>
        <v>136.22829292449507</v>
      </c>
      <c r="AC68" s="2">
        <f>Model_4!M68</f>
        <v>129.84088013047415</v>
      </c>
      <c r="AD68" s="2">
        <f>Model_1!N68</f>
        <v>1.0047097413422288</v>
      </c>
      <c r="AE68" s="2">
        <f>Model_2!N68</f>
        <v>1.2889325681152093</v>
      </c>
      <c r="AF68" s="2">
        <f ca="1">Model_3!N68</f>
        <v>1.3622829292449508</v>
      </c>
      <c r="AG68" s="2">
        <f>Model_4!N68</f>
        <v>1.2984088013047415</v>
      </c>
    </row>
    <row r="69" spans="1:33" x14ac:dyDescent="0.3">
      <c r="A69" s="1">
        <v>67</v>
      </c>
      <c r="B69" s="2">
        <f>Model_1!G69</f>
        <v>0.13273709275435142</v>
      </c>
      <c r="C69" s="2">
        <f>Model_2!G69</f>
        <v>0</v>
      </c>
      <c r="D69" s="2">
        <f ca="1">Model_3!G69</f>
        <v>0</v>
      </c>
      <c r="E69" s="2">
        <f>Model_4!G69</f>
        <v>12.90767751287974</v>
      </c>
      <c r="F69" s="2">
        <f>Model_1!H69</f>
        <v>497.79746041081893</v>
      </c>
      <c r="G69" s="2">
        <f>Model_2!H69</f>
        <v>634.53738456895962</v>
      </c>
      <c r="H69" s="2">
        <f ca="1">Model_3!H69</f>
        <v>587.24952271361303</v>
      </c>
      <c r="I69" s="2">
        <f>Model_4!H69</f>
        <v>630.46239108164662</v>
      </c>
      <c r="J69" s="2">
        <f>Model_1!I69</f>
        <v>0</v>
      </c>
      <c r="K69" s="2">
        <f>Model_2!I69</f>
        <v>5.3814953827583834</v>
      </c>
      <c r="L69" s="2">
        <f ca="1">Model_3!I69</f>
        <v>3.489980908544521</v>
      </c>
      <c r="M69" s="2">
        <f>Model_4!I69</f>
        <v>0</v>
      </c>
      <c r="N69" s="2">
        <f>Model_1!J69</f>
        <v>1000</v>
      </c>
      <c r="O69" s="2">
        <f>Model_2!J69</f>
        <v>1000</v>
      </c>
      <c r="P69" s="2">
        <f>Model_3!J69</f>
        <v>1000</v>
      </c>
      <c r="Q69" s="2">
        <f>Model_4!J69</f>
        <v>1600</v>
      </c>
      <c r="R69" s="2">
        <f>Model_1!K69</f>
        <v>2.0088491395169568</v>
      </c>
      <c r="S69" s="2">
        <f>Model_2!K69</f>
        <v>1.5759512746113433</v>
      </c>
      <c r="T69" s="2">
        <f ca="1">Model_3!K69</f>
        <v>1.7028536615561884</v>
      </c>
      <c r="U69" s="2">
        <f>Model_4!K69</f>
        <v>2.5378198963699892</v>
      </c>
      <c r="V69" s="2">
        <f>Model_1!L69</f>
        <v>50</v>
      </c>
      <c r="W69" s="2">
        <f>Model_2!L69</f>
        <v>50</v>
      </c>
      <c r="X69" s="2">
        <f ca="1">Model_3!L69</f>
        <v>50</v>
      </c>
      <c r="Y69" s="2">
        <f>Model_4!L69</f>
        <v>50</v>
      </c>
      <c r="Z69" s="2">
        <f>Model_1!M69</f>
        <v>100.44245697584783</v>
      </c>
      <c r="AA69" s="2">
        <f>Model_2!M69</f>
        <v>78.797563730567163</v>
      </c>
      <c r="AB69" s="2">
        <f ca="1">Model_3!M69</f>
        <v>85.142683077809423</v>
      </c>
      <c r="AC69" s="2">
        <f>Model_4!M69</f>
        <v>126.89099481849946</v>
      </c>
      <c r="AD69" s="2">
        <f>Model_1!N69</f>
        <v>1.0044245697584784</v>
      </c>
      <c r="AE69" s="2">
        <f>Model_2!N69</f>
        <v>0.78797563730567166</v>
      </c>
      <c r="AF69" s="2">
        <f ca="1">Model_3!N69</f>
        <v>0.85142683077809422</v>
      </c>
      <c r="AG69" s="2">
        <f>Model_4!N69</f>
        <v>1.2689099481849946</v>
      </c>
    </row>
    <row r="70" spans="1:33" x14ac:dyDescent="0.3">
      <c r="A70" s="1">
        <v>68</v>
      </c>
      <c r="B70" s="2">
        <f>Model_1!G70</f>
        <v>0.1247043766457967</v>
      </c>
      <c r="C70" s="2">
        <f>Model_2!G70</f>
        <v>0</v>
      </c>
      <c r="D70" s="2">
        <f ca="1">Model_3!G70</f>
        <v>11.236951832850346</v>
      </c>
      <c r="E70" s="2">
        <f>Model_4!G70</f>
        <v>11.685711030801745</v>
      </c>
      <c r="F70" s="2">
        <f>Model_1!H70</f>
        <v>497.93019750357325</v>
      </c>
      <c r="G70" s="2">
        <f>Model_2!H70</f>
        <v>629.15588918620119</v>
      </c>
      <c r="H70" s="2">
        <f ca="1">Model_3!H70</f>
        <v>583.75954180506847</v>
      </c>
      <c r="I70" s="2">
        <f>Model_4!H70</f>
        <v>643.3700685945264</v>
      </c>
      <c r="J70" s="2">
        <f>Model_1!I70</f>
        <v>0</v>
      </c>
      <c r="K70" s="2">
        <f>Model_2!I70</f>
        <v>5.166235567448048</v>
      </c>
      <c r="L70" s="2">
        <f ca="1">Model_3!I70</f>
        <v>3.3503816722027371</v>
      </c>
      <c r="M70" s="2">
        <f>Model_4!I70</f>
        <v>0</v>
      </c>
      <c r="N70" s="2">
        <f>Model_1!J70</f>
        <v>1000</v>
      </c>
      <c r="O70" s="2">
        <f>Model_2!J70</f>
        <v>1000</v>
      </c>
      <c r="P70" s="2">
        <f>Model_3!J70</f>
        <v>1000</v>
      </c>
      <c r="Q70" s="2">
        <f>Model_4!J70</f>
        <v>1600</v>
      </c>
      <c r="R70" s="2">
        <f>Model_1!K70</f>
        <v>2.0083136251097198</v>
      </c>
      <c r="S70" s="2">
        <f>Model_2!K70</f>
        <v>1.5894312001012614</v>
      </c>
      <c r="T70" s="2">
        <f ca="1">Model_3!K70</f>
        <v>1.7130340977517149</v>
      </c>
      <c r="U70" s="2">
        <f>Model_4!K70</f>
        <v>2.486904626283406</v>
      </c>
      <c r="V70" s="2">
        <f>Model_1!L70</f>
        <v>50</v>
      </c>
      <c r="W70" s="2">
        <f>Model_2!L70</f>
        <v>50</v>
      </c>
      <c r="X70" s="2">
        <f ca="1">Model_3!L70</f>
        <v>50</v>
      </c>
      <c r="Y70" s="2">
        <f>Model_4!L70</f>
        <v>50</v>
      </c>
      <c r="Z70" s="2">
        <f>Model_1!M70</f>
        <v>100.41568125548599</v>
      </c>
      <c r="AA70" s="2">
        <f>Model_2!M70</f>
        <v>79.471560005063068</v>
      </c>
      <c r="AB70" s="2">
        <f ca="1">Model_3!M70</f>
        <v>85.651704887585751</v>
      </c>
      <c r="AC70" s="2">
        <f>Model_4!M70</f>
        <v>124.34523131417031</v>
      </c>
      <c r="AD70" s="2">
        <f>Model_1!N70</f>
        <v>1.0041568125548599</v>
      </c>
      <c r="AE70" s="2">
        <f>Model_2!N70</f>
        <v>0.79471560005063069</v>
      </c>
      <c r="AF70" s="2">
        <f ca="1">Model_3!N70</f>
        <v>0.85651704887585756</v>
      </c>
      <c r="AG70" s="2">
        <f>Model_4!N70</f>
        <v>1.243452313141703</v>
      </c>
    </row>
    <row r="71" spans="1:33" x14ac:dyDescent="0.3">
      <c r="A71" s="1">
        <v>69</v>
      </c>
      <c r="B71" s="2">
        <f>Model_1!G71</f>
        <v>0.11716166907129733</v>
      </c>
      <c r="C71" s="2">
        <f>Model_2!G71</f>
        <v>13.539481908560187</v>
      </c>
      <c r="D71" s="2">
        <f ca="1">Model_3!G71</f>
        <v>0</v>
      </c>
      <c r="E71" s="2">
        <f>Model_4!G71</f>
        <v>10.620962052977578</v>
      </c>
      <c r="F71" s="2">
        <f>Model_1!H71</f>
        <v>498.05490188021906</v>
      </c>
      <c r="G71" s="2">
        <f>Model_2!H71</f>
        <v>623.9896536187531</v>
      </c>
      <c r="H71" s="2">
        <f ca="1">Model_3!H71</f>
        <v>591.64611196571605</v>
      </c>
      <c r="I71" s="2">
        <f>Model_4!H71</f>
        <v>655.05577962532811</v>
      </c>
      <c r="J71" s="2">
        <f>Model_1!I71</f>
        <v>0</v>
      </c>
      <c r="K71" s="2">
        <f>Model_2!I71</f>
        <v>0</v>
      </c>
      <c r="L71" s="2">
        <f ca="1">Model_3!I71</f>
        <v>0</v>
      </c>
      <c r="M71" s="2">
        <f>Model_4!I71</f>
        <v>0</v>
      </c>
      <c r="N71" s="2">
        <f>Model_1!J71</f>
        <v>1000</v>
      </c>
      <c r="O71" s="2">
        <f>Model_2!J71</f>
        <v>1600</v>
      </c>
      <c r="P71" s="2">
        <f>Model_3!J71</f>
        <v>1600</v>
      </c>
      <c r="Q71" s="2">
        <f>Model_4!J71</f>
        <v>1600</v>
      </c>
      <c r="R71" s="2">
        <f>Model_1!K71</f>
        <v>2.0078107779380865</v>
      </c>
      <c r="S71" s="2">
        <f>Model_2!K71</f>
        <v>2.5641450795233416</v>
      </c>
      <c r="T71" s="2">
        <f ca="1">Model_3!K71</f>
        <v>2.7043193010836766</v>
      </c>
      <c r="U71" s="2">
        <f>Model_4!K71</f>
        <v>2.4425400855407324</v>
      </c>
      <c r="V71" s="2">
        <f>Model_1!L71</f>
        <v>50</v>
      </c>
      <c r="W71" s="2">
        <f>Model_2!L71</f>
        <v>50</v>
      </c>
      <c r="X71" s="2">
        <f ca="1">Model_3!L71</f>
        <v>50.000000000000014</v>
      </c>
      <c r="Y71" s="2">
        <f>Model_4!L71</f>
        <v>50</v>
      </c>
      <c r="Z71" s="2">
        <f>Model_1!M71</f>
        <v>100.39053889690433</v>
      </c>
      <c r="AA71" s="2">
        <f>Model_2!M71</f>
        <v>128.20725397616707</v>
      </c>
      <c r="AB71" s="2">
        <f ca="1">Model_3!M71</f>
        <v>135.21596505418387</v>
      </c>
      <c r="AC71" s="2">
        <f>Model_4!M71</f>
        <v>122.12700427703662</v>
      </c>
      <c r="AD71" s="2">
        <f>Model_1!N71</f>
        <v>1.0039053889690432</v>
      </c>
      <c r="AE71" s="2">
        <f>Model_2!N71</f>
        <v>1.2820725397616706</v>
      </c>
      <c r="AF71" s="2">
        <f ca="1">Model_3!N71</f>
        <v>1.3521596505418387</v>
      </c>
      <c r="AG71" s="2">
        <f>Model_4!N71</f>
        <v>1.2212700427703662</v>
      </c>
    </row>
    <row r="72" spans="1:33" x14ac:dyDescent="0.3">
      <c r="A72" s="1">
        <v>70</v>
      </c>
      <c r="B72" s="2">
        <f>Model_1!G72</f>
        <v>0.11007862048824091</v>
      </c>
      <c r="C72" s="2">
        <f>Model_2!G72</f>
        <v>0</v>
      </c>
      <c r="D72" s="2">
        <f ca="1">Model_3!G72</f>
        <v>0</v>
      </c>
      <c r="E72" s="2">
        <f>Model_4!G72</f>
        <v>9.6856567095702282</v>
      </c>
      <c r="F72" s="2">
        <f>Model_1!H72</f>
        <v>498.17206354929039</v>
      </c>
      <c r="G72" s="2">
        <f>Model_2!H72</f>
        <v>637.52913552731331</v>
      </c>
      <c r="H72" s="2">
        <f ca="1">Model_3!H72</f>
        <v>591.64611196571605</v>
      </c>
      <c r="I72" s="2">
        <f>Model_4!H72</f>
        <v>665.67674167830569</v>
      </c>
      <c r="J72" s="2">
        <f>Model_1!I72</f>
        <v>0</v>
      </c>
      <c r="K72" s="2">
        <f>Model_2!I72</f>
        <v>17.501165421092534</v>
      </c>
      <c r="L72" s="2">
        <f ca="1">Model_3!I72</f>
        <v>15.665844478628642</v>
      </c>
      <c r="M72" s="2">
        <f>Model_4!I72</f>
        <v>0</v>
      </c>
      <c r="N72" s="2">
        <f>Model_1!J72</f>
        <v>1000</v>
      </c>
      <c r="O72" s="2">
        <f>Model_2!J72</f>
        <v>400</v>
      </c>
      <c r="P72" s="2">
        <f>Model_3!J72</f>
        <v>400</v>
      </c>
      <c r="Q72" s="2">
        <f>Model_4!J72</f>
        <v>1600</v>
      </c>
      <c r="R72" s="2">
        <f>Model_1!K72</f>
        <v>2.0073385746992165</v>
      </c>
      <c r="S72" s="2">
        <f>Model_2!K72</f>
        <v>0.6274223054435808</v>
      </c>
      <c r="T72" s="2">
        <f ca="1">Model_3!K72</f>
        <v>0.67607982527091914</v>
      </c>
      <c r="U72" s="2">
        <f>Model_4!K72</f>
        <v>2.4035690295654262</v>
      </c>
      <c r="V72" s="2">
        <f>Model_1!L72</f>
        <v>49.999999999999993</v>
      </c>
      <c r="W72" s="2">
        <f>Model_2!L72</f>
        <v>50</v>
      </c>
      <c r="X72" s="2">
        <f ca="1">Model_3!L72</f>
        <v>50.000000000000014</v>
      </c>
      <c r="Y72" s="2">
        <f>Model_4!L72</f>
        <v>50</v>
      </c>
      <c r="Z72" s="2">
        <f>Model_1!M72</f>
        <v>100.36692873496081</v>
      </c>
      <c r="AA72" s="2">
        <f>Model_2!M72</f>
        <v>31.37111527217904</v>
      </c>
      <c r="AB72" s="2">
        <f ca="1">Model_3!M72</f>
        <v>33.803991263545967</v>
      </c>
      <c r="AC72" s="2">
        <f>Model_4!M72</f>
        <v>120.17845147827131</v>
      </c>
      <c r="AD72" s="2">
        <f>Model_1!N72</f>
        <v>1.003669287349608</v>
      </c>
      <c r="AE72" s="2">
        <f>Model_2!N72</f>
        <v>0.3137111527217904</v>
      </c>
      <c r="AF72" s="2">
        <f ca="1">Model_3!N72</f>
        <v>0.33803991263545968</v>
      </c>
      <c r="AG72" s="2">
        <f>Model_4!N72</f>
        <v>1.2017845147827131</v>
      </c>
    </row>
    <row r="73" spans="1:33" x14ac:dyDescent="0.3">
      <c r="A73" s="1">
        <v>71</v>
      </c>
      <c r="B73" s="2">
        <f>Model_1!G73</f>
        <v>0.10342681494108552</v>
      </c>
      <c r="C73" s="2">
        <f>Model_2!G73</f>
        <v>0</v>
      </c>
      <c r="D73" s="2">
        <f ca="1">Model_3!G73</f>
        <v>10.868487877348523</v>
      </c>
      <c r="E73" s="2">
        <f>Model_4!G73</f>
        <v>0</v>
      </c>
      <c r="F73" s="2">
        <f>Model_1!H73</f>
        <v>498.28214216977864</v>
      </c>
      <c r="G73" s="2">
        <f>Model_2!H73</f>
        <v>620.02797010622078</v>
      </c>
      <c r="H73" s="2">
        <f ca="1">Model_3!H73</f>
        <v>575.98026748708742</v>
      </c>
      <c r="I73" s="2">
        <f>Model_4!H73</f>
        <v>675.36239838787594</v>
      </c>
      <c r="J73" s="2">
        <f>Model_1!I73</f>
        <v>0</v>
      </c>
      <c r="K73" s="2">
        <f>Model_2!I73</f>
        <v>4.8011188042488318</v>
      </c>
      <c r="L73" s="2">
        <f ca="1">Model_3!I73</f>
        <v>3.0392106994834962</v>
      </c>
      <c r="M73" s="2">
        <f>Model_4!I73</f>
        <v>19.01449593551504</v>
      </c>
      <c r="N73" s="2">
        <f>Model_1!J73</f>
        <v>1000</v>
      </c>
      <c r="O73" s="2">
        <f>Model_2!J73</f>
        <v>1000</v>
      </c>
      <c r="P73" s="2">
        <f>Model_3!J73</f>
        <v>1000</v>
      </c>
      <c r="Q73" s="2">
        <f>Model_4!J73</f>
        <v>400</v>
      </c>
      <c r="R73" s="2">
        <f>Model_1!K73</f>
        <v>2.0068951209960724</v>
      </c>
      <c r="S73" s="2">
        <f>Model_2!K73</f>
        <v>1.6128304660654</v>
      </c>
      <c r="T73" s="2">
        <f ca="1">Model_3!K73</f>
        <v>1.7361705885565228</v>
      </c>
      <c r="U73" s="2">
        <f>Model_4!K73</f>
        <v>0.59227460835074641</v>
      </c>
      <c r="V73" s="2">
        <f>Model_1!L73</f>
        <v>50</v>
      </c>
      <c r="W73" s="2">
        <f>Model_2!L73</f>
        <v>50</v>
      </c>
      <c r="X73" s="2">
        <f ca="1">Model_3!L73</f>
        <v>50</v>
      </c>
      <c r="Y73" s="2">
        <f>Model_4!L73</f>
        <v>50</v>
      </c>
      <c r="Z73" s="2">
        <f>Model_1!M73</f>
        <v>100.34475604980362</v>
      </c>
      <c r="AA73" s="2">
        <f>Model_2!M73</f>
        <v>80.641523303270006</v>
      </c>
      <c r="AB73" s="2">
        <f ca="1">Model_3!M73</f>
        <v>86.808529427826144</v>
      </c>
      <c r="AC73" s="2">
        <f>Model_4!M73</f>
        <v>29.613730417537319</v>
      </c>
      <c r="AD73" s="2">
        <f>Model_1!N73</f>
        <v>1.0034475604980362</v>
      </c>
      <c r="AE73" s="2">
        <f>Model_2!N73</f>
        <v>0.80641523303270002</v>
      </c>
      <c r="AF73" s="2">
        <f ca="1">Model_3!N73</f>
        <v>0.86808529427826142</v>
      </c>
      <c r="AG73" s="2">
        <f>Model_4!N73</f>
        <v>0.29613730417537321</v>
      </c>
    </row>
    <row r="74" spans="1:33" x14ac:dyDescent="0.3">
      <c r="A74" s="1">
        <v>72</v>
      </c>
      <c r="B74" s="2">
        <f>Model_1!G74</f>
        <v>9.7179640568390013E-2</v>
      </c>
      <c r="C74" s="2">
        <f>Model_2!G74</f>
        <v>14.416001380200029</v>
      </c>
      <c r="D74" s="2">
        <f ca="1">Model_3!G74</f>
        <v>0</v>
      </c>
      <c r="E74" s="2">
        <f>Model_4!G74</f>
        <v>0</v>
      </c>
      <c r="F74" s="2">
        <f>Model_1!H74</f>
        <v>498.38556898471973</v>
      </c>
      <c r="G74" s="2">
        <f>Model_2!H74</f>
        <v>615.22685130197192</v>
      </c>
      <c r="H74" s="2">
        <f ca="1">Model_3!H74</f>
        <v>583.80954466495245</v>
      </c>
      <c r="I74" s="2">
        <f>Model_4!H74</f>
        <v>656.34790245236093</v>
      </c>
      <c r="J74" s="2">
        <f>Model_1!I74</f>
        <v>0</v>
      </c>
      <c r="K74" s="2">
        <f>Model_2!I74</f>
        <v>0</v>
      </c>
      <c r="L74" s="2">
        <f ca="1">Model_3!I74</f>
        <v>0</v>
      </c>
      <c r="M74" s="2">
        <f>Model_4!I74</f>
        <v>18.253916098094436</v>
      </c>
      <c r="N74" s="2">
        <f>Model_1!J74</f>
        <v>1000</v>
      </c>
      <c r="O74" s="2">
        <f>Model_2!J74</f>
        <v>1600</v>
      </c>
      <c r="P74" s="2">
        <f>Model_3!J74</f>
        <v>1600</v>
      </c>
      <c r="Q74" s="2">
        <f>Model_4!J74</f>
        <v>400</v>
      </c>
      <c r="R74" s="2">
        <f>Model_1!K74</f>
        <v>2.0064786427045593</v>
      </c>
      <c r="S74" s="2">
        <f>Model_2!K74</f>
        <v>2.6006667241750012</v>
      </c>
      <c r="T74" s="2">
        <f ca="1">Model_3!K74</f>
        <v>2.7406198042175518</v>
      </c>
      <c r="U74" s="2">
        <f>Model_4!K74</f>
        <v>0.60943289146723956</v>
      </c>
      <c r="V74" s="2">
        <f>Model_1!L74</f>
        <v>50</v>
      </c>
      <c r="W74" s="2">
        <f>Model_2!L74</f>
        <v>50</v>
      </c>
      <c r="X74" s="2">
        <f ca="1">Model_3!L74</f>
        <v>50</v>
      </c>
      <c r="Y74" s="2">
        <f>Model_4!L74</f>
        <v>50</v>
      </c>
      <c r="Z74" s="2">
        <f>Model_1!M74</f>
        <v>100.32393213522796</v>
      </c>
      <c r="AA74" s="2">
        <f>Model_2!M74</f>
        <v>130.03333620875006</v>
      </c>
      <c r="AB74" s="2">
        <f ca="1">Model_3!M74</f>
        <v>137.03099021087758</v>
      </c>
      <c r="AC74" s="2">
        <f>Model_4!M74</f>
        <v>30.471644573361978</v>
      </c>
      <c r="AD74" s="2">
        <f>Model_1!N74</f>
        <v>1.0032393213522797</v>
      </c>
      <c r="AE74" s="2">
        <f>Model_2!N74</f>
        <v>1.3003333620875006</v>
      </c>
      <c r="AF74" s="2">
        <f ca="1">Model_3!N74</f>
        <v>1.3703099021087757</v>
      </c>
      <c r="AG74" s="2">
        <f>Model_4!N74</f>
        <v>0.30471644573361978</v>
      </c>
    </row>
    <row r="75" spans="1:33" x14ac:dyDescent="0.3">
      <c r="A75" s="1">
        <v>73</v>
      </c>
      <c r="B75" s="2">
        <f>Model_1!G75</f>
        <v>9.1312169512163255E-2</v>
      </c>
      <c r="C75" s="2">
        <f>Model_2!G75</f>
        <v>0</v>
      </c>
      <c r="D75" s="2">
        <f ca="1">Model_3!G75</f>
        <v>0</v>
      </c>
      <c r="E75" s="2">
        <f>Model_4!G75</f>
        <v>0</v>
      </c>
      <c r="F75" s="2">
        <f>Model_1!H75</f>
        <v>498.48274862528814</v>
      </c>
      <c r="G75" s="2">
        <f>Model_2!H75</f>
        <v>629.64285268217191</v>
      </c>
      <c r="H75" s="2">
        <f ca="1">Model_3!H75</f>
        <v>583.80954466495245</v>
      </c>
      <c r="I75" s="2">
        <f>Model_4!H75</f>
        <v>638.09398635426646</v>
      </c>
      <c r="J75" s="2">
        <f>Model_1!I75</f>
        <v>0</v>
      </c>
      <c r="K75" s="2">
        <f>Model_2!I75</f>
        <v>5.1857141072868762</v>
      </c>
      <c r="L75" s="2">
        <f ca="1">Model_3!I75</f>
        <v>3.3523817865980976</v>
      </c>
      <c r="M75" s="2">
        <f>Model_4!I75</f>
        <v>17.523759454170659</v>
      </c>
      <c r="N75" s="2">
        <f>Model_1!J75</f>
        <v>1000</v>
      </c>
      <c r="O75" s="2">
        <f>Model_2!J75</f>
        <v>1000</v>
      </c>
      <c r="P75" s="2">
        <f>Model_3!J75</f>
        <v>1000</v>
      </c>
      <c r="Q75" s="2">
        <f>Model_4!J75</f>
        <v>400</v>
      </c>
      <c r="R75" s="2">
        <f>Model_1!K75</f>
        <v>2.0060874779674767</v>
      </c>
      <c r="S75" s="2">
        <f>Model_2!K75</f>
        <v>1.5882019397824805</v>
      </c>
      <c r="T75" s="2">
        <f ca="1">Model_3!K75</f>
        <v>1.7128873776359699</v>
      </c>
      <c r="U75" s="2">
        <f>Model_4!K75</f>
        <v>0.62686690135631851</v>
      </c>
      <c r="V75" s="2">
        <f>Model_1!L75</f>
        <v>50.000000000000014</v>
      </c>
      <c r="W75" s="2">
        <f>Model_2!L75</f>
        <v>50</v>
      </c>
      <c r="X75" s="2">
        <f ca="1">Model_3!L75</f>
        <v>50</v>
      </c>
      <c r="Y75" s="2">
        <f>Model_4!L75</f>
        <v>50</v>
      </c>
      <c r="Z75" s="2">
        <f>Model_1!M75</f>
        <v>100.30437389837387</v>
      </c>
      <c r="AA75" s="2">
        <f>Model_2!M75</f>
        <v>79.410096989124028</v>
      </c>
      <c r="AB75" s="2">
        <f ca="1">Model_3!M75</f>
        <v>85.644368881798499</v>
      </c>
      <c r="AC75" s="2">
        <f>Model_4!M75</f>
        <v>31.343345067815925</v>
      </c>
      <c r="AD75" s="2">
        <f>Model_1!N75</f>
        <v>1.0030437389837388</v>
      </c>
      <c r="AE75" s="2">
        <f>Model_2!N75</f>
        <v>0.79410096989124024</v>
      </c>
      <c r="AF75" s="2">
        <f ca="1">Model_3!N75</f>
        <v>0.85644368881798494</v>
      </c>
      <c r="AG75" s="2">
        <f>Model_4!N75</f>
        <v>0.31343345067815925</v>
      </c>
    </row>
    <row r="76" spans="1:33" x14ac:dyDescent="0.3">
      <c r="A76" s="1">
        <v>74</v>
      </c>
      <c r="B76" s="2">
        <f>Model_1!G76</f>
        <v>8.5801046463984676E-2</v>
      </c>
      <c r="C76" s="2">
        <f>Model_2!G76</f>
        <v>0</v>
      </c>
      <c r="D76" s="2">
        <f ca="1">Model_3!G76</f>
        <v>10.564789516255162</v>
      </c>
      <c r="E76" s="2">
        <f>Model_4!G76</f>
        <v>0</v>
      </c>
      <c r="F76" s="2">
        <f>Model_1!H76</f>
        <v>498.57406079480029</v>
      </c>
      <c r="G76" s="2">
        <f>Model_2!H76</f>
        <v>624.45713857488499</v>
      </c>
      <c r="H76" s="2">
        <f ca="1">Model_3!H76</f>
        <v>580.45716287835432</v>
      </c>
      <c r="I76" s="2">
        <f>Model_4!H76</f>
        <v>620.5702269000958</v>
      </c>
      <c r="J76" s="2">
        <f>Model_1!I76</f>
        <v>0</v>
      </c>
      <c r="K76" s="2">
        <f>Model_2!I76</f>
        <v>4.9782855429954012</v>
      </c>
      <c r="L76" s="2">
        <f ca="1">Model_3!I76</f>
        <v>3.2182865151341731</v>
      </c>
      <c r="M76" s="2">
        <f>Model_4!I76</f>
        <v>16.822809076003832</v>
      </c>
      <c r="N76" s="2">
        <f>Model_1!J76</f>
        <v>1000</v>
      </c>
      <c r="O76" s="2">
        <f>Model_2!J76</f>
        <v>1000</v>
      </c>
      <c r="P76" s="2">
        <f>Model_3!J76</f>
        <v>1000</v>
      </c>
      <c r="Q76" s="2">
        <f>Model_4!J76</f>
        <v>400</v>
      </c>
      <c r="R76" s="2">
        <f>Model_1!K76</f>
        <v>2.0057200697642656</v>
      </c>
      <c r="S76" s="2">
        <f>Model_2!K76</f>
        <v>1.60139093338282</v>
      </c>
      <c r="T76" s="2">
        <f ca="1">Model_3!K76</f>
        <v>1.7227800153955009</v>
      </c>
      <c r="U76" s="2">
        <f>Model_4!K76</f>
        <v>0.64456846729193007</v>
      </c>
      <c r="V76" s="2">
        <f>Model_1!L76</f>
        <v>50</v>
      </c>
      <c r="W76" s="2">
        <f>Model_2!L76</f>
        <v>49.999999999999993</v>
      </c>
      <c r="X76" s="2">
        <f ca="1">Model_3!L76</f>
        <v>50</v>
      </c>
      <c r="Y76" s="2">
        <f>Model_4!L76</f>
        <v>50</v>
      </c>
      <c r="Z76" s="2">
        <f>Model_1!M76</f>
        <v>100.28600348821328</v>
      </c>
      <c r="AA76" s="2">
        <f>Model_2!M76</f>
        <v>80.069546669140991</v>
      </c>
      <c r="AB76" s="2">
        <f ca="1">Model_3!M76</f>
        <v>86.139000769775038</v>
      </c>
      <c r="AC76" s="2">
        <f>Model_4!M76</f>
        <v>32.228423364596502</v>
      </c>
      <c r="AD76" s="2">
        <f>Model_1!N76</f>
        <v>1.0028600348821328</v>
      </c>
      <c r="AE76" s="2">
        <f>Model_2!N76</f>
        <v>0.8006954666914099</v>
      </c>
      <c r="AF76" s="2">
        <f ca="1">Model_3!N76</f>
        <v>0.86139000769775043</v>
      </c>
      <c r="AG76" s="2">
        <f>Model_4!N76</f>
        <v>0.32228423364596503</v>
      </c>
    </row>
    <row r="77" spans="1:33" x14ac:dyDescent="0.3">
      <c r="A77" s="1">
        <v>75</v>
      </c>
      <c r="B77" s="2">
        <f>Model_1!G77</f>
        <v>8.0624385154284273E-2</v>
      </c>
      <c r="C77" s="2">
        <f>Model_2!G77</f>
        <v>13.987588134866087</v>
      </c>
      <c r="D77" s="2">
        <f ca="1">Model_3!G77</f>
        <v>0</v>
      </c>
      <c r="E77" s="2">
        <f>Model_4!G77</f>
        <v>0</v>
      </c>
      <c r="F77" s="2">
        <f>Model_1!H77</f>
        <v>498.65986184126427</v>
      </c>
      <c r="G77" s="2">
        <f>Model_2!H77</f>
        <v>619.47885303188957</v>
      </c>
      <c r="H77" s="2">
        <f ca="1">Model_3!H77</f>
        <v>587.80366587947526</v>
      </c>
      <c r="I77" s="2">
        <f>Model_4!H77</f>
        <v>603.74741782409194</v>
      </c>
      <c r="J77" s="2">
        <f>Model_1!I77</f>
        <v>0</v>
      </c>
      <c r="K77" s="2">
        <f>Model_2!I77</f>
        <v>0</v>
      </c>
      <c r="L77" s="2">
        <f ca="1">Model_3!I77</f>
        <v>0</v>
      </c>
      <c r="M77" s="2">
        <f>Model_4!I77</f>
        <v>16.149896712963677</v>
      </c>
      <c r="N77" s="2">
        <f>Model_1!J77</f>
        <v>1000</v>
      </c>
      <c r="O77" s="2">
        <f>Model_2!J77</f>
        <v>1600</v>
      </c>
      <c r="P77" s="2">
        <f>Model_3!J77</f>
        <v>1600</v>
      </c>
      <c r="Q77" s="2">
        <f>Model_4!J77</f>
        <v>400</v>
      </c>
      <c r="R77" s="2">
        <f>Model_1!K77</f>
        <v>2.0053749590102856</v>
      </c>
      <c r="S77" s="2">
        <f>Model_2!K77</f>
        <v>2.5828161722860861</v>
      </c>
      <c r="T77" s="2">
        <f ca="1">Model_3!K77</f>
        <v>2.7219973145388106</v>
      </c>
      <c r="U77" s="2">
        <f>Model_4!K77</f>
        <v>0.66252871348353182</v>
      </c>
      <c r="V77" s="2">
        <f>Model_1!L77</f>
        <v>50</v>
      </c>
      <c r="W77" s="2">
        <f>Model_2!L77</f>
        <v>50.000000000000014</v>
      </c>
      <c r="X77" s="2">
        <f ca="1">Model_3!L77</f>
        <v>50</v>
      </c>
      <c r="Y77" s="2">
        <f>Model_4!L77</f>
        <v>50</v>
      </c>
      <c r="Z77" s="2">
        <f>Model_1!M77</f>
        <v>100.26874795051428</v>
      </c>
      <c r="AA77" s="2">
        <f>Model_2!M77</f>
        <v>129.14080861430435</v>
      </c>
      <c r="AB77" s="2">
        <f ca="1">Model_3!M77</f>
        <v>136.09986572694052</v>
      </c>
      <c r="AC77" s="2">
        <f>Model_4!M77</f>
        <v>33.126435674176591</v>
      </c>
      <c r="AD77" s="2">
        <f>Model_1!N77</f>
        <v>1.0026874795051428</v>
      </c>
      <c r="AE77" s="2">
        <f>Model_2!N77</f>
        <v>1.2914080861430435</v>
      </c>
      <c r="AF77" s="2">
        <f ca="1">Model_3!N77</f>
        <v>1.3609986572694053</v>
      </c>
      <c r="AG77" s="2">
        <f>Model_4!N77</f>
        <v>0.33126435674176591</v>
      </c>
    </row>
    <row r="78" spans="1:33" x14ac:dyDescent="0.3">
      <c r="A78" s="1">
        <v>76</v>
      </c>
      <c r="B78" s="2">
        <f>Model_1!G78</f>
        <v>7.5761672154059934E-2</v>
      </c>
      <c r="C78" s="2">
        <f>Model_2!G78</f>
        <v>0</v>
      </c>
      <c r="D78" s="2">
        <f ca="1">Model_3!G78</f>
        <v>0</v>
      </c>
      <c r="E78" s="2">
        <f>Model_4!G78</f>
        <v>0</v>
      </c>
      <c r="F78" s="2">
        <f>Model_1!H78</f>
        <v>498.74048622641857</v>
      </c>
      <c r="G78" s="2">
        <f>Model_2!H78</f>
        <v>633.46644116675566</v>
      </c>
      <c r="H78" s="2">
        <f ca="1">Model_3!H78</f>
        <v>587.80366587947526</v>
      </c>
      <c r="I78" s="2">
        <f>Model_4!H78</f>
        <v>587.59752111112823</v>
      </c>
      <c r="J78" s="2">
        <f>Model_1!I78</f>
        <v>0</v>
      </c>
      <c r="K78" s="2">
        <f>Model_2!I78</f>
        <v>5.3386576466702271</v>
      </c>
      <c r="L78" s="2">
        <f ca="1">Model_3!I78</f>
        <v>3.5121466351790107</v>
      </c>
      <c r="M78" s="2">
        <f>Model_4!I78</f>
        <v>15.503900844445131</v>
      </c>
      <c r="N78" s="2">
        <f>Model_1!J78</f>
        <v>1000</v>
      </c>
      <c r="O78" s="2">
        <f>Model_2!J78</f>
        <v>1000</v>
      </c>
      <c r="P78" s="2">
        <f>Model_3!J78</f>
        <v>1000</v>
      </c>
      <c r="Q78" s="2">
        <f>Model_4!J78</f>
        <v>400</v>
      </c>
      <c r="R78" s="2">
        <f>Model_1!K78</f>
        <v>2.005050778143604</v>
      </c>
      <c r="S78" s="2">
        <f>Model_2!K78</f>
        <v>1.5786155903667782</v>
      </c>
      <c r="T78" s="2">
        <f ca="1">Model_3!K78</f>
        <v>1.7012483215867567</v>
      </c>
      <c r="U78" s="2">
        <f>Model_4!K78</f>
        <v>0.68073806581690932</v>
      </c>
      <c r="V78" s="2">
        <f>Model_1!L78</f>
        <v>50</v>
      </c>
      <c r="W78" s="2">
        <f>Model_2!L78</f>
        <v>50</v>
      </c>
      <c r="X78" s="2">
        <f ca="1">Model_3!L78</f>
        <v>50</v>
      </c>
      <c r="Y78" s="2">
        <f>Model_4!L78</f>
        <v>50</v>
      </c>
      <c r="Z78" s="2">
        <f>Model_1!M78</f>
        <v>100.2525389071802</v>
      </c>
      <c r="AA78" s="2">
        <f>Model_2!M78</f>
        <v>78.930779518338909</v>
      </c>
      <c r="AB78" s="2">
        <f ca="1">Model_3!M78</f>
        <v>85.062416079337837</v>
      </c>
      <c r="AC78" s="2">
        <f>Model_4!M78</f>
        <v>34.036903290845466</v>
      </c>
      <c r="AD78" s="2">
        <f>Model_1!N78</f>
        <v>1.002525389071802</v>
      </c>
      <c r="AE78" s="2">
        <f>Model_2!N78</f>
        <v>0.78930779518338912</v>
      </c>
      <c r="AF78" s="2">
        <f ca="1">Model_3!N78</f>
        <v>0.85062416079337833</v>
      </c>
      <c r="AG78" s="2">
        <f>Model_4!N78</f>
        <v>0.34036903290845466</v>
      </c>
    </row>
    <row r="79" spans="1:33" x14ac:dyDescent="0.3">
      <c r="A79" s="1">
        <v>77</v>
      </c>
      <c r="B79" s="2">
        <f>Model_1!G79</f>
        <v>7.1193677416143686E-2</v>
      </c>
      <c r="C79" s="2">
        <f>Model_2!G79</f>
        <v>0</v>
      </c>
      <c r="D79" s="2">
        <f ca="1">Model_3!G79</f>
        <v>4.4437188253053082</v>
      </c>
      <c r="E79" s="2">
        <f>Model_4!G79</f>
        <v>0</v>
      </c>
      <c r="F79" s="2">
        <f>Model_1!H79</f>
        <v>498.81624789857261</v>
      </c>
      <c r="G79" s="2">
        <f>Model_2!H79</f>
        <v>628.12778352008547</v>
      </c>
      <c r="H79" s="2">
        <f ca="1">Model_3!H79</f>
        <v>584.2915192442963</v>
      </c>
      <c r="I79" s="2">
        <f>Model_4!H79</f>
        <v>572.09362026668305</v>
      </c>
      <c r="J79" s="2">
        <f>Model_1!I79</f>
        <v>0</v>
      </c>
      <c r="K79" s="2">
        <f>Model_2!I79</f>
        <v>17.125111340803421</v>
      </c>
      <c r="L79" s="2">
        <f ca="1">Model_3!I79</f>
        <v>15.371660769771852</v>
      </c>
      <c r="M79" s="2">
        <f>Model_4!I79</f>
        <v>14.883744810667324</v>
      </c>
      <c r="N79" s="2">
        <f>Model_1!J79</f>
        <v>1000</v>
      </c>
      <c r="O79" s="2">
        <f>Model_2!J79</f>
        <v>400</v>
      </c>
      <c r="P79" s="2">
        <f>Model_3!J79</f>
        <v>400</v>
      </c>
      <c r="Q79" s="2">
        <f>Model_4!J79</f>
        <v>400</v>
      </c>
      <c r="R79" s="2">
        <f>Model_1!K79</f>
        <v>2.0047462451610762</v>
      </c>
      <c r="S79" s="2">
        <f>Model_2!K79</f>
        <v>0.63681309837683575</v>
      </c>
      <c r="T79" s="2">
        <f ca="1">Model_3!K79</f>
        <v>0.68458977552394917</v>
      </c>
      <c r="U79" s="2">
        <f>Model_4!K79</f>
        <v>0.69918626223019031</v>
      </c>
      <c r="V79" s="2">
        <f>Model_1!L79</f>
        <v>50</v>
      </c>
      <c r="W79" s="2">
        <f>Model_2!L79</f>
        <v>50</v>
      </c>
      <c r="X79" s="2">
        <f ca="1">Model_3!L79</f>
        <v>49.999999999999993</v>
      </c>
      <c r="Y79" s="2">
        <f>Model_4!L79</f>
        <v>50</v>
      </c>
      <c r="Z79" s="2">
        <f>Model_1!M79</f>
        <v>100.23731225805381</v>
      </c>
      <c r="AA79" s="2">
        <f>Model_2!M79</f>
        <v>31.840654918841789</v>
      </c>
      <c r="AB79" s="2">
        <f ca="1">Model_3!M79</f>
        <v>34.229488776197456</v>
      </c>
      <c r="AC79" s="2">
        <f>Model_4!M79</f>
        <v>34.959313111509516</v>
      </c>
      <c r="AD79" s="2">
        <f>Model_1!N79</f>
        <v>1.0023731225805381</v>
      </c>
      <c r="AE79" s="2">
        <f>Model_2!N79</f>
        <v>0.31840654918841788</v>
      </c>
      <c r="AF79" s="2">
        <f ca="1">Model_3!N79</f>
        <v>0.34229488776197459</v>
      </c>
      <c r="AG79" s="2">
        <f>Model_4!N79</f>
        <v>0.34959313111509516</v>
      </c>
    </row>
    <row r="80" spans="1:33" x14ac:dyDescent="0.3">
      <c r="A80" s="1">
        <v>78</v>
      </c>
      <c r="B80" s="2">
        <f>Model_1!G80</f>
        <v>6.6902371033634722E-2</v>
      </c>
      <c r="C80" s="2">
        <f>Model_2!G80</f>
        <v>14.847515646760645</v>
      </c>
      <c r="D80" s="2">
        <f ca="1">Model_3!G80</f>
        <v>0</v>
      </c>
      <c r="E80" s="2">
        <f>Model_4!G80</f>
        <v>0</v>
      </c>
      <c r="F80" s="2">
        <f>Model_1!H80</f>
        <v>498.88744157598876</v>
      </c>
      <c r="G80" s="2">
        <f>Model_2!H80</f>
        <v>611.00267217928206</v>
      </c>
      <c r="H80" s="2">
        <f ca="1">Model_3!H80</f>
        <v>573.36357729982979</v>
      </c>
      <c r="I80" s="2">
        <f>Model_4!H80</f>
        <v>557.20987545601577</v>
      </c>
      <c r="J80" s="2">
        <f>Model_1!I80</f>
        <v>0</v>
      </c>
      <c r="K80" s="2">
        <f>Model_2!I80</f>
        <v>0</v>
      </c>
      <c r="L80" s="2">
        <f ca="1">Model_3!I80</f>
        <v>0</v>
      </c>
      <c r="M80" s="2">
        <f>Model_4!I80</f>
        <v>14.288395018240633</v>
      </c>
      <c r="N80" s="2">
        <f>Model_1!J80</f>
        <v>1000</v>
      </c>
      <c r="O80" s="2">
        <f>Model_2!J80</f>
        <v>1600</v>
      </c>
      <c r="P80" s="2">
        <f>Model_3!J80</f>
        <v>1600</v>
      </c>
      <c r="Q80" s="2">
        <f>Model_4!J80</f>
        <v>400</v>
      </c>
      <c r="R80" s="2">
        <f>Model_1!K80</f>
        <v>2.004460158068909</v>
      </c>
      <c r="S80" s="2">
        <f>Model_2!K80</f>
        <v>2.618646485281694</v>
      </c>
      <c r="T80" s="2">
        <f ca="1">Model_3!K80</f>
        <v>2.7905504697995664</v>
      </c>
      <c r="U80" s="2">
        <f>Model_4!K80</f>
        <v>0.71786236680145599</v>
      </c>
      <c r="V80" s="2">
        <f>Model_1!L80</f>
        <v>50</v>
      </c>
      <c r="W80" s="2">
        <f>Model_2!L80</f>
        <v>50</v>
      </c>
      <c r="X80" s="2">
        <f ca="1">Model_3!L80</f>
        <v>50</v>
      </c>
      <c r="Y80" s="2">
        <f>Model_4!L80</f>
        <v>50</v>
      </c>
      <c r="Z80" s="2">
        <f>Model_1!M80</f>
        <v>100.22300790344545</v>
      </c>
      <c r="AA80" s="2">
        <f>Model_2!M80</f>
        <v>130.93232426408468</v>
      </c>
      <c r="AB80" s="2">
        <f ca="1">Model_3!M80</f>
        <v>139.52752348997834</v>
      </c>
      <c r="AC80" s="2">
        <f>Model_4!M80</f>
        <v>35.893118340072796</v>
      </c>
      <c r="AD80" s="2">
        <f>Model_1!N80</f>
        <v>1.0022300790344545</v>
      </c>
      <c r="AE80" s="2">
        <f>Model_2!N80</f>
        <v>1.3093232426408468</v>
      </c>
      <c r="AF80" s="2">
        <f ca="1">Model_3!N80</f>
        <v>1.3952752348997834</v>
      </c>
      <c r="AG80" s="2">
        <f>Model_4!N80</f>
        <v>0.35893118340072794</v>
      </c>
    </row>
    <row r="81" spans="1:33" x14ac:dyDescent="0.3">
      <c r="A81" s="1">
        <v>79</v>
      </c>
      <c r="B81" s="2">
        <f>Model_1!G81</f>
        <v>6.2870845739466663E-2</v>
      </c>
      <c r="C81" s="2">
        <f>Model_2!G81</f>
        <v>0</v>
      </c>
      <c r="D81" s="2">
        <f ca="1">Model_3!G81</f>
        <v>0</v>
      </c>
      <c r="E81" s="2">
        <f>Model_4!G81</f>
        <v>0</v>
      </c>
      <c r="F81" s="2">
        <f>Model_1!H81</f>
        <v>498.95434394702238</v>
      </c>
      <c r="G81" s="2">
        <f>Model_2!H81</f>
        <v>625.85018782604266</v>
      </c>
      <c r="H81" s="2">
        <f ca="1">Model_3!H81</f>
        <v>573.36357729982979</v>
      </c>
      <c r="I81" s="2">
        <f>Model_4!H81</f>
        <v>542.92148043777513</v>
      </c>
      <c r="J81" s="2">
        <f>Model_1!I81</f>
        <v>0</v>
      </c>
      <c r="K81" s="2">
        <f>Model_2!I81</f>
        <v>5.0340075130417059</v>
      </c>
      <c r="L81" s="2">
        <f ca="1">Model_3!I81</f>
        <v>2.9345430919931941</v>
      </c>
      <c r="M81" s="2">
        <f>Model_4!I81</f>
        <v>13.716859217511004</v>
      </c>
      <c r="N81" s="2">
        <f>Model_1!J81</f>
        <v>1000</v>
      </c>
      <c r="O81" s="2">
        <f>Model_2!J81</f>
        <v>1000</v>
      </c>
      <c r="P81" s="2">
        <f>Model_3!J81</f>
        <v>1000</v>
      </c>
      <c r="Q81" s="2">
        <f>Model_4!J81</f>
        <v>400</v>
      </c>
      <c r="R81" s="2">
        <f>Model_1!K81</f>
        <v>2.0041913897159644</v>
      </c>
      <c r="S81" s="2">
        <f>Model_2!K81</f>
        <v>1.5978264758114185</v>
      </c>
      <c r="T81" s="2">
        <f ca="1">Model_3!K81</f>
        <v>1.744094043624729</v>
      </c>
      <c r="U81" s="2">
        <f>Model_4!K81</f>
        <v>0.73675478759371815</v>
      </c>
      <c r="V81" s="2">
        <f>Model_1!L81</f>
        <v>49.999999999999993</v>
      </c>
      <c r="W81" s="2">
        <f>Model_2!L81</f>
        <v>50</v>
      </c>
      <c r="X81" s="2">
        <f ca="1">Model_3!L81</f>
        <v>50</v>
      </c>
      <c r="Y81" s="2">
        <f>Model_4!L81</f>
        <v>50</v>
      </c>
      <c r="Z81" s="2">
        <f>Model_1!M81</f>
        <v>100.20956948579821</v>
      </c>
      <c r="AA81" s="2">
        <f>Model_2!M81</f>
        <v>79.891323790570922</v>
      </c>
      <c r="AB81" s="2">
        <f ca="1">Model_3!M81</f>
        <v>87.204702181236442</v>
      </c>
      <c r="AC81" s="2">
        <f>Model_4!M81</f>
        <v>36.837739379685907</v>
      </c>
      <c r="AD81" s="2">
        <f>Model_1!N81</f>
        <v>1.0020956948579822</v>
      </c>
      <c r="AE81" s="2">
        <f>Model_2!N81</f>
        <v>0.79891323790570923</v>
      </c>
      <c r="AF81" s="2">
        <f ca="1">Model_3!N81</f>
        <v>0.87204702181236438</v>
      </c>
      <c r="AG81" s="2">
        <f>Model_4!N81</f>
        <v>0.36837739379685908</v>
      </c>
    </row>
    <row r="82" spans="1:33" x14ac:dyDescent="0.3">
      <c r="A82" s="1">
        <v>80</v>
      </c>
      <c r="B82" s="2">
        <f>Model_1!G82</f>
        <v>5.9083244712090366E-2</v>
      </c>
      <c r="C82" s="2">
        <f>Model_2!G82</f>
        <v>0</v>
      </c>
      <c r="D82" s="2">
        <f ca="1">Model_3!G82</f>
        <v>10.829959718082158</v>
      </c>
      <c r="E82" s="2">
        <f>Model_4!G82</f>
        <v>0</v>
      </c>
      <c r="F82" s="2">
        <f>Model_1!H82</f>
        <v>499.01721479276182</v>
      </c>
      <c r="G82" s="2">
        <f>Model_2!H82</f>
        <v>620.81618031300093</v>
      </c>
      <c r="H82" s="2">
        <f ca="1">Model_3!H82</f>
        <v>570.42903420783659</v>
      </c>
      <c r="I82" s="2">
        <f>Model_4!H82</f>
        <v>529.20462122026413</v>
      </c>
      <c r="J82" s="2">
        <f>Model_1!I82</f>
        <v>0</v>
      </c>
      <c r="K82" s="2">
        <f>Model_2!I82</f>
        <v>4.8326472125200368</v>
      </c>
      <c r="L82" s="2">
        <f ca="1">Model_3!I82</f>
        <v>2.8171613683134642</v>
      </c>
      <c r="M82" s="2">
        <f>Model_4!I82</f>
        <v>13.168184848810563</v>
      </c>
      <c r="N82" s="2">
        <f>Model_1!J82</f>
        <v>1000</v>
      </c>
      <c r="O82" s="2">
        <f>Model_2!J82</f>
        <v>1000</v>
      </c>
      <c r="P82" s="2">
        <f>Model_3!J82</f>
        <v>1000</v>
      </c>
      <c r="Q82" s="2">
        <f>Model_4!J82</f>
        <v>400</v>
      </c>
      <c r="R82" s="2">
        <f>Model_1!K82</f>
        <v>2.003938882980806</v>
      </c>
      <c r="S82" s="2">
        <f>Model_2!K82</f>
        <v>1.6107827593923592</v>
      </c>
      <c r="T82" s="2">
        <f ca="1">Model_3!K82</f>
        <v>1.7530664465365355</v>
      </c>
      <c r="U82" s="2">
        <f>Model_4!K82</f>
        <v>0.7558512982703397</v>
      </c>
      <c r="V82" s="2">
        <f>Model_1!L82</f>
        <v>49.999999999999993</v>
      </c>
      <c r="W82" s="2">
        <f>Model_2!L82</f>
        <v>50</v>
      </c>
      <c r="X82" s="2">
        <f ca="1">Model_3!L82</f>
        <v>50</v>
      </c>
      <c r="Y82" s="2">
        <f>Model_4!L82</f>
        <v>50</v>
      </c>
      <c r="Z82" s="2">
        <f>Model_1!M82</f>
        <v>100.19694414904029</v>
      </c>
      <c r="AA82" s="2">
        <f>Model_2!M82</f>
        <v>80.539137969617954</v>
      </c>
      <c r="AB82" s="2">
        <f ca="1">Model_3!M82</f>
        <v>87.653322326826782</v>
      </c>
      <c r="AC82" s="2">
        <f>Model_4!M82</f>
        <v>37.792564913516983</v>
      </c>
      <c r="AD82" s="2">
        <f>Model_1!N82</f>
        <v>1.001969441490403</v>
      </c>
      <c r="AE82" s="2">
        <f>Model_2!N82</f>
        <v>0.80539137969617958</v>
      </c>
      <c r="AF82" s="2">
        <f ca="1">Model_3!N82</f>
        <v>0.87653322326826777</v>
      </c>
      <c r="AG82" s="2">
        <f>Model_4!N82</f>
        <v>0.37792564913516985</v>
      </c>
    </row>
    <row r="83" spans="1:33" x14ac:dyDescent="0.3">
      <c r="A83" s="1">
        <v>81</v>
      </c>
      <c r="B83" s="2">
        <f>Model_1!G83</f>
        <v>5.5524694289736942E-2</v>
      </c>
      <c r="C83" s="2">
        <f>Model_2!G83</f>
        <v>14.339328791336516</v>
      </c>
      <c r="D83" s="2">
        <f ca="1">Model_3!G83</f>
        <v>0</v>
      </c>
      <c r="E83" s="2">
        <f>Model_4!G83</f>
        <v>26.413350092121977</v>
      </c>
      <c r="F83" s="2">
        <f>Model_1!H83</f>
        <v>499.07629803747392</v>
      </c>
      <c r="G83" s="2">
        <f>Model_2!H83</f>
        <v>615.98353310048094</v>
      </c>
      <c r="H83" s="2">
        <f ca="1">Model_3!H83</f>
        <v>578.44183255760527</v>
      </c>
      <c r="I83" s="2">
        <f>Model_4!H83</f>
        <v>516.03643637145353</v>
      </c>
      <c r="J83" s="2">
        <f>Model_1!I83</f>
        <v>0</v>
      </c>
      <c r="K83" s="2">
        <f>Model_2!I83</f>
        <v>0</v>
      </c>
      <c r="L83" s="2">
        <f ca="1">Model_3!I83</f>
        <v>0</v>
      </c>
      <c r="M83" s="2">
        <f>Model_4!I83</f>
        <v>0</v>
      </c>
      <c r="N83" s="2">
        <f>Model_1!J83</f>
        <v>1000</v>
      </c>
      <c r="O83" s="2">
        <f>Model_2!J83</f>
        <v>1600</v>
      </c>
      <c r="P83" s="2">
        <f>Model_3!J83</f>
        <v>1600</v>
      </c>
      <c r="Q83" s="2">
        <f>Model_4!J83</f>
        <v>1600</v>
      </c>
      <c r="R83" s="2">
        <f>Model_1!K83</f>
        <v>2.003701646285982</v>
      </c>
      <c r="S83" s="2">
        <f>Model_2!K83</f>
        <v>2.5974720329723548</v>
      </c>
      <c r="T83" s="2">
        <f ca="1">Model_3!K83</f>
        <v>2.7660516752834621</v>
      </c>
      <c r="U83" s="2">
        <f>Model_4!K83</f>
        <v>3</v>
      </c>
      <c r="V83" s="2">
        <f>Model_1!L83</f>
        <v>50.000000000000014</v>
      </c>
      <c r="W83" s="2">
        <f>Model_2!L83</f>
        <v>50</v>
      </c>
      <c r="X83" s="2">
        <f ca="1">Model_3!L83</f>
        <v>50</v>
      </c>
      <c r="Y83" s="2">
        <f>Model_4!L83</f>
        <v>51.675937563973598</v>
      </c>
      <c r="Z83" s="2">
        <f>Model_1!M83</f>
        <v>100.18508231429912</v>
      </c>
      <c r="AA83" s="2">
        <f>Model_2!M83</f>
        <v>129.87360164861775</v>
      </c>
      <c r="AB83" s="2">
        <f ca="1">Model_3!M83</f>
        <v>138.30258376417311</v>
      </c>
      <c r="AC83" s="2">
        <f>Model_4!M83</f>
        <v>155.02781269192079</v>
      </c>
      <c r="AD83" s="2">
        <f>Model_1!N83</f>
        <v>1.0018508231429912</v>
      </c>
      <c r="AE83" s="2">
        <f>Model_2!N83</f>
        <v>1.2987360164861774</v>
      </c>
      <c r="AF83" s="2">
        <f ca="1">Model_3!N83</f>
        <v>1.383025837641731</v>
      </c>
      <c r="AG83" s="2">
        <f>Model_4!N83</f>
        <v>1.5502781269192079</v>
      </c>
    </row>
    <row r="84" spans="1:33" x14ac:dyDescent="0.3">
      <c r="A84" s="1">
        <v>82</v>
      </c>
      <c r="B84" s="2">
        <f>Model_1!G84</f>
        <v>5.2181241229112274E-2</v>
      </c>
      <c r="C84" s="2">
        <f>Model_2!G84</f>
        <v>0</v>
      </c>
      <c r="D84" s="2">
        <f ca="1">Model_3!G84</f>
        <v>0</v>
      </c>
      <c r="E84" s="2">
        <f>Model_4!G84</f>
        <v>22.789962422777144</v>
      </c>
      <c r="F84" s="2">
        <f>Model_1!H84</f>
        <v>499.13182273176363</v>
      </c>
      <c r="G84" s="2">
        <f>Model_2!H84</f>
        <v>630.32286189181741</v>
      </c>
      <c r="H84" s="2">
        <f ca="1">Model_3!H84</f>
        <v>578.44183255760527</v>
      </c>
      <c r="I84" s="2">
        <f>Model_4!H84</f>
        <v>542.44978646357549</v>
      </c>
      <c r="J84" s="2">
        <f>Model_1!I84</f>
        <v>0</v>
      </c>
      <c r="K84" s="2">
        <f>Model_2!I84</f>
        <v>5.2129144756726937</v>
      </c>
      <c r="L84" s="2">
        <f ca="1">Model_3!I84</f>
        <v>3.1376733023042069</v>
      </c>
      <c r="M84" s="2">
        <f>Model_4!I84</f>
        <v>0</v>
      </c>
      <c r="N84" s="2">
        <f>Model_1!J84</f>
        <v>1000</v>
      </c>
      <c r="O84" s="2">
        <f>Model_2!J84</f>
        <v>1000</v>
      </c>
      <c r="P84" s="2">
        <f>Model_3!J84</f>
        <v>1000</v>
      </c>
      <c r="Q84" s="2">
        <f>Model_4!J84</f>
        <v>1600</v>
      </c>
      <c r="R84" s="2">
        <f>Model_1!K84</f>
        <v>2.0034787494152737</v>
      </c>
      <c r="S84" s="2">
        <f>Model_2!K84</f>
        <v>1.5864885449318042</v>
      </c>
      <c r="T84" s="2">
        <f ca="1">Model_3!K84</f>
        <v>1.7287822970521638</v>
      </c>
      <c r="U84" s="2">
        <f>Model_4!K84</f>
        <v>2.9495817676157148</v>
      </c>
      <c r="V84" s="2">
        <f>Model_1!L84</f>
        <v>50.000000000000014</v>
      </c>
      <c r="W84" s="2">
        <f>Model_2!L84</f>
        <v>50</v>
      </c>
      <c r="X84" s="2">
        <f ca="1">Model_3!L84</f>
        <v>50.000000000000014</v>
      </c>
      <c r="Y84" s="2">
        <f>Model_4!L84</f>
        <v>50</v>
      </c>
      <c r="Z84" s="2">
        <f>Model_1!M84</f>
        <v>100.17393747076372</v>
      </c>
      <c r="AA84" s="2">
        <f>Model_2!M84</f>
        <v>79.324427246590218</v>
      </c>
      <c r="AB84" s="2">
        <f ca="1">Model_3!M84</f>
        <v>86.439114852608213</v>
      </c>
      <c r="AC84" s="2">
        <f>Model_4!M84</f>
        <v>147.47908838078573</v>
      </c>
      <c r="AD84" s="2">
        <f>Model_1!N84</f>
        <v>1.0017393747076371</v>
      </c>
      <c r="AE84" s="2">
        <f>Model_2!N84</f>
        <v>0.79324427246590223</v>
      </c>
      <c r="AF84" s="2">
        <f ca="1">Model_3!N84</f>
        <v>0.86439114852608212</v>
      </c>
      <c r="AG84" s="2">
        <f>Model_4!N84</f>
        <v>1.4747908838078572</v>
      </c>
    </row>
    <row r="85" spans="1:33" x14ac:dyDescent="0.3">
      <c r="A85" s="1">
        <v>83</v>
      </c>
      <c r="B85" s="2">
        <f>Model_1!G85</f>
        <v>4.903979417486326E-2</v>
      </c>
      <c r="C85" s="2">
        <f>Model_2!G85</f>
        <v>0</v>
      </c>
      <c r="D85" s="2">
        <f ca="1">Model_3!G85</f>
        <v>11.858257046993504</v>
      </c>
      <c r="E85" s="2">
        <f>Model_4!G85</f>
        <v>19.935774289859289</v>
      </c>
      <c r="F85" s="2">
        <f>Model_1!H85</f>
        <v>499.18400397299274</v>
      </c>
      <c r="G85" s="2">
        <f>Model_2!H85</f>
        <v>625.10994741614468</v>
      </c>
      <c r="H85" s="2">
        <f ca="1">Model_3!H85</f>
        <v>575.3041592553011</v>
      </c>
      <c r="I85" s="2">
        <f>Model_4!H85</f>
        <v>565.23974888635269</v>
      </c>
      <c r="J85" s="2">
        <f>Model_1!I85</f>
        <v>0</v>
      </c>
      <c r="K85" s="2">
        <f>Model_2!I85</f>
        <v>5.0043978966457878</v>
      </c>
      <c r="L85" s="2">
        <f ca="1">Model_3!I85</f>
        <v>3.0121663702120434</v>
      </c>
      <c r="M85" s="2">
        <f>Model_4!I85</f>
        <v>0</v>
      </c>
      <c r="N85" s="2">
        <f>Model_1!J85</f>
        <v>1000</v>
      </c>
      <c r="O85" s="2">
        <f>Model_2!J85</f>
        <v>1000</v>
      </c>
      <c r="P85" s="2">
        <f>Model_3!J85</f>
        <v>1000</v>
      </c>
      <c r="Q85" s="2">
        <f>Model_4!J85</f>
        <v>1600</v>
      </c>
      <c r="R85" s="2">
        <f>Model_1!K85</f>
        <v>2.0032693196116571</v>
      </c>
      <c r="S85" s="2">
        <f>Model_2!K85</f>
        <v>1.5997185841201877</v>
      </c>
      <c r="T85" s="2">
        <f ca="1">Model_3!K85</f>
        <v>1.7382109687759668</v>
      </c>
      <c r="U85" s="2">
        <f>Model_4!K85</f>
        <v>2.8306572620774704</v>
      </c>
      <c r="V85" s="2">
        <f>Model_1!L85</f>
        <v>50.000000000000014</v>
      </c>
      <c r="W85" s="2">
        <f>Model_2!L85</f>
        <v>50</v>
      </c>
      <c r="X85" s="2">
        <f ca="1">Model_3!L85</f>
        <v>50</v>
      </c>
      <c r="Y85" s="2">
        <f>Model_4!L85</f>
        <v>50</v>
      </c>
      <c r="Z85" s="2">
        <f>Model_1!M85</f>
        <v>100.16346598058288</v>
      </c>
      <c r="AA85" s="2">
        <f>Model_2!M85</f>
        <v>79.985929206009388</v>
      </c>
      <c r="AB85" s="2">
        <f ca="1">Model_3!M85</f>
        <v>86.910548438798344</v>
      </c>
      <c r="AC85" s="2">
        <f>Model_4!M85</f>
        <v>141.53286310387352</v>
      </c>
      <c r="AD85" s="2">
        <f>Model_1!N85</f>
        <v>1.0016346598058288</v>
      </c>
      <c r="AE85" s="2">
        <f>Model_2!N85</f>
        <v>0.79985929206009387</v>
      </c>
      <c r="AF85" s="2">
        <f ca="1">Model_3!N85</f>
        <v>0.86910548438798341</v>
      </c>
      <c r="AG85" s="2">
        <f>Model_4!N85</f>
        <v>1.4153286310387352</v>
      </c>
    </row>
    <row r="86" spans="1:33" x14ac:dyDescent="0.3">
      <c r="A86" s="1">
        <v>84</v>
      </c>
      <c r="B86" s="2">
        <f>Model_1!G86</f>
        <v>4.6088069033554113E-2</v>
      </c>
      <c r="C86" s="2">
        <f>Model_2!G86</f>
        <v>13.924941697030452</v>
      </c>
      <c r="D86" s="2">
        <f ca="1">Model_3!G86</f>
        <v>0</v>
      </c>
      <c r="E86" s="2">
        <f>Model_4!G86</f>
        <v>17.621336640283111</v>
      </c>
      <c r="F86" s="2">
        <f>Model_1!H86</f>
        <v>499.2330437671676</v>
      </c>
      <c r="G86" s="2">
        <f>Model_2!H86</f>
        <v>620.10554951949894</v>
      </c>
      <c r="H86" s="2">
        <f ca="1">Model_3!H86</f>
        <v>584.1502499320826</v>
      </c>
      <c r="I86" s="2">
        <f>Model_4!H86</f>
        <v>585.17552317621198</v>
      </c>
      <c r="J86" s="2">
        <f>Model_1!I86</f>
        <v>0</v>
      </c>
      <c r="K86" s="2">
        <f>Model_2!I86</f>
        <v>0</v>
      </c>
      <c r="L86" s="2">
        <f ca="1">Model_3!I86</f>
        <v>0</v>
      </c>
      <c r="M86" s="2">
        <f>Model_4!I86</f>
        <v>0</v>
      </c>
      <c r="N86" s="2">
        <f>Model_1!J86</f>
        <v>1000</v>
      </c>
      <c r="O86" s="2">
        <f>Model_2!J86</f>
        <v>1600</v>
      </c>
      <c r="P86" s="2">
        <f>Model_3!J86</f>
        <v>1600</v>
      </c>
      <c r="Q86" s="2">
        <f>Model_4!J86</f>
        <v>1600</v>
      </c>
      <c r="R86" s="2">
        <f>Model_1!K86</f>
        <v>2.0030725379355703</v>
      </c>
      <c r="S86" s="2">
        <f>Model_2!K86</f>
        <v>2.5802059040429355</v>
      </c>
      <c r="T86" s="2">
        <f ca="1">Model_3!K86</f>
        <v>2.73902133943455</v>
      </c>
      <c r="U86" s="2">
        <f>Model_4!K86</f>
        <v>2.7342223600117963</v>
      </c>
      <c r="V86" s="2">
        <f>Model_1!L86</f>
        <v>50</v>
      </c>
      <c r="W86" s="2">
        <f>Model_2!L86</f>
        <v>50</v>
      </c>
      <c r="X86" s="2">
        <f ca="1">Model_3!L86</f>
        <v>50</v>
      </c>
      <c r="Y86" s="2">
        <f>Model_4!L86</f>
        <v>50</v>
      </c>
      <c r="Z86" s="2">
        <f>Model_1!M86</f>
        <v>100.15362689677852</v>
      </c>
      <c r="AA86" s="2">
        <f>Model_2!M86</f>
        <v>129.01029520214678</v>
      </c>
      <c r="AB86" s="2">
        <f ca="1">Model_3!M86</f>
        <v>136.9510669717275</v>
      </c>
      <c r="AC86" s="2">
        <f>Model_4!M86</f>
        <v>136.71111800058981</v>
      </c>
      <c r="AD86" s="2">
        <f>Model_1!N86</f>
        <v>1.0015362689677851</v>
      </c>
      <c r="AE86" s="2">
        <f>Model_2!N86</f>
        <v>1.2901029520214677</v>
      </c>
      <c r="AF86" s="2">
        <f ca="1">Model_3!N86</f>
        <v>1.369510669717275</v>
      </c>
      <c r="AG86" s="2">
        <f>Model_4!N86</f>
        <v>1.3671111800058982</v>
      </c>
    </row>
    <row r="87" spans="1:33" x14ac:dyDescent="0.3">
      <c r="A87" s="1">
        <v>85</v>
      </c>
      <c r="B87" s="2">
        <f>Model_1!G87</f>
        <v>4.331453797083773E-2</v>
      </c>
      <c r="C87" s="2">
        <f>Model_2!G87</f>
        <v>0</v>
      </c>
      <c r="D87" s="2">
        <f ca="1">Model_3!G87</f>
        <v>0</v>
      </c>
      <c r="E87" s="2">
        <f>Model_4!G87</f>
        <v>15.703052487184216</v>
      </c>
      <c r="F87" s="2">
        <f>Model_1!H87</f>
        <v>499.27913183620115</v>
      </c>
      <c r="G87" s="2">
        <f>Model_2!H87</f>
        <v>634.03049121652941</v>
      </c>
      <c r="H87" s="2">
        <f ca="1">Model_3!H87</f>
        <v>584.1502499320826</v>
      </c>
      <c r="I87" s="2">
        <f>Model_4!H87</f>
        <v>602.79685981649504</v>
      </c>
      <c r="J87" s="2">
        <f>Model_1!I87</f>
        <v>0</v>
      </c>
      <c r="K87" s="2">
        <f>Model_2!I87</f>
        <v>5.3612196486611747</v>
      </c>
      <c r="L87" s="2">
        <f ca="1">Model_3!I87</f>
        <v>3.3660099972833</v>
      </c>
      <c r="M87" s="2">
        <f>Model_4!I87</f>
        <v>0</v>
      </c>
      <c r="N87" s="2">
        <f>Model_1!J87</f>
        <v>1000</v>
      </c>
      <c r="O87" s="2">
        <f>Model_2!J87</f>
        <v>1000</v>
      </c>
      <c r="P87" s="2">
        <f>Model_3!J87</f>
        <v>1000</v>
      </c>
      <c r="Q87" s="2">
        <f>Model_4!J87</f>
        <v>1600</v>
      </c>
      <c r="R87" s="2">
        <f>Model_1!K87</f>
        <v>2.0028876358647225</v>
      </c>
      <c r="S87" s="2">
        <f>Model_2!K87</f>
        <v>1.5772112127940032</v>
      </c>
      <c r="T87" s="2">
        <f ca="1">Model_3!K87</f>
        <v>1.7118883371465936</v>
      </c>
      <c r="U87" s="2">
        <f>Model_4!K87</f>
        <v>2.6542938536326748</v>
      </c>
      <c r="V87" s="2">
        <f>Model_1!L87</f>
        <v>50</v>
      </c>
      <c r="W87" s="2">
        <f>Model_2!L87</f>
        <v>50</v>
      </c>
      <c r="X87" s="2">
        <f ca="1">Model_3!L87</f>
        <v>50.000000000000014</v>
      </c>
      <c r="Y87" s="2">
        <f>Model_4!L87</f>
        <v>50.000000000000014</v>
      </c>
      <c r="Z87" s="2">
        <f>Model_1!M87</f>
        <v>100.14438179323612</v>
      </c>
      <c r="AA87" s="2">
        <f>Model_2!M87</f>
        <v>78.860560639700168</v>
      </c>
      <c r="AB87" s="2">
        <f ca="1">Model_3!M87</f>
        <v>85.594416857329705</v>
      </c>
      <c r="AC87" s="2">
        <f>Model_4!M87</f>
        <v>132.71469268163378</v>
      </c>
      <c r="AD87" s="2">
        <f>Model_1!N87</f>
        <v>1.0014438179323613</v>
      </c>
      <c r="AE87" s="2">
        <f>Model_2!N87</f>
        <v>0.78860560639700172</v>
      </c>
      <c r="AF87" s="2">
        <f ca="1">Model_3!N87</f>
        <v>0.85594416857329703</v>
      </c>
      <c r="AG87" s="2">
        <f>Model_4!N87</f>
        <v>1.3271469268163378</v>
      </c>
    </row>
    <row r="88" spans="1:33" x14ac:dyDescent="0.3">
      <c r="A88" s="1">
        <v>86</v>
      </c>
      <c r="B88" s="2">
        <f>Model_1!G88</f>
        <v>4.0708381773029156E-2</v>
      </c>
      <c r="C88" s="2">
        <f>Model_2!G88</f>
        <v>0</v>
      </c>
      <c r="D88" s="2">
        <f ca="1">Model_3!G88</f>
        <v>11.490775129251931</v>
      </c>
      <c r="E88" s="2">
        <f>Model_4!G88</f>
        <v>14.085699991410607</v>
      </c>
      <c r="F88" s="2">
        <f>Model_1!H88</f>
        <v>499.32244637417199</v>
      </c>
      <c r="G88" s="2">
        <f>Model_2!H88</f>
        <v>628.66927156786824</v>
      </c>
      <c r="H88" s="2">
        <f ca="1">Model_3!H88</f>
        <v>580.7842399347993</v>
      </c>
      <c r="I88" s="2">
        <f>Model_4!H88</f>
        <v>618.49991230367925</v>
      </c>
      <c r="J88" s="2">
        <f>Model_1!I88</f>
        <v>0</v>
      </c>
      <c r="K88" s="2">
        <f>Model_2!I88</f>
        <v>5.1467708627147291</v>
      </c>
      <c r="L88" s="2">
        <f ca="1">Model_3!I88</f>
        <v>3.2313695973919696</v>
      </c>
      <c r="M88" s="2">
        <f>Model_4!I88</f>
        <v>0</v>
      </c>
      <c r="N88" s="2">
        <f>Model_1!J88</f>
        <v>1000</v>
      </c>
      <c r="O88" s="2">
        <f>Model_2!J88</f>
        <v>1000</v>
      </c>
      <c r="P88" s="2">
        <f>Model_3!J88</f>
        <v>1000</v>
      </c>
      <c r="Q88" s="2">
        <f>Model_4!J88</f>
        <v>1600</v>
      </c>
      <c r="R88" s="2">
        <f>Model_1!K88</f>
        <v>2.0027138921182015</v>
      </c>
      <c r="S88" s="2">
        <f>Model_2!K88</f>
        <v>1.5906614896351661</v>
      </c>
      <c r="T88" s="2">
        <f ca="1">Model_3!K88</f>
        <v>1.7218098068781329</v>
      </c>
      <c r="U88" s="2">
        <f>Model_4!K88</f>
        <v>2.5869041663087753</v>
      </c>
      <c r="V88" s="2">
        <f>Model_1!L88</f>
        <v>50.000000000000014</v>
      </c>
      <c r="W88" s="2">
        <f>Model_2!L88</f>
        <v>50</v>
      </c>
      <c r="X88" s="2">
        <f ca="1">Model_3!L88</f>
        <v>50</v>
      </c>
      <c r="Y88" s="2">
        <f>Model_4!L88</f>
        <v>50</v>
      </c>
      <c r="Z88" s="2">
        <f>Model_1!M88</f>
        <v>100.1356946059101</v>
      </c>
      <c r="AA88" s="2">
        <f>Model_2!M88</f>
        <v>79.533074481758305</v>
      </c>
      <c r="AB88" s="2">
        <f ca="1">Model_3!M88</f>
        <v>86.090490343906652</v>
      </c>
      <c r="AC88" s="2">
        <f>Model_4!M88</f>
        <v>129.34520831543875</v>
      </c>
      <c r="AD88" s="2">
        <f>Model_1!N88</f>
        <v>1.001356946059101</v>
      </c>
      <c r="AE88" s="2">
        <f>Model_2!N88</f>
        <v>0.79533074481758304</v>
      </c>
      <c r="AF88" s="2">
        <f ca="1">Model_3!N88</f>
        <v>0.86090490343906656</v>
      </c>
      <c r="AG88" s="2">
        <f>Model_4!N88</f>
        <v>1.2934520831543876</v>
      </c>
    </row>
    <row r="89" spans="1:33" x14ac:dyDescent="0.3">
      <c r="A89" s="1">
        <v>87</v>
      </c>
      <c r="B89" s="2">
        <f>Model_1!G89</f>
        <v>3.8259445334898334E-2</v>
      </c>
      <c r="C89" s="2">
        <f>Model_2!G89</f>
        <v>13.585588261165718</v>
      </c>
      <c r="D89" s="2">
        <f ca="1">Model_3!G89</f>
        <v>0</v>
      </c>
      <c r="E89" s="2">
        <f>Model_4!G89</f>
        <v>12.703245938017147</v>
      </c>
      <c r="F89" s="2">
        <f>Model_1!H89</f>
        <v>499.363154755945</v>
      </c>
      <c r="G89" s="2">
        <f>Model_2!H89</f>
        <v>623.52250070515356</v>
      </c>
      <c r="H89" s="2">
        <f ca="1">Model_3!H89</f>
        <v>589.04364546665931</v>
      </c>
      <c r="I89" s="2">
        <f>Model_4!H89</f>
        <v>632.58561229508985</v>
      </c>
      <c r="J89" s="2">
        <f>Model_1!I89</f>
        <v>0</v>
      </c>
      <c r="K89" s="2">
        <f>Model_2!I89</f>
        <v>0</v>
      </c>
      <c r="L89" s="2">
        <f ca="1">Model_3!I89</f>
        <v>0</v>
      </c>
      <c r="M89" s="2">
        <f>Model_4!I89</f>
        <v>0</v>
      </c>
      <c r="N89" s="2">
        <f>Model_1!J89</f>
        <v>1000</v>
      </c>
      <c r="O89" s="2">
        <f>Model_2!J89</f>
        <v>1600</v>
      </c>
      <c r="P89" s="2">
        <f>Model_3!J89</f>
        <v>1600</v>
      </c>
      <c r="Q89" s="2">
        <f>Model_4!J89</f>
        <v>1600</v>
      </c>
      <c r="R89" s="2">
        <f>Model_1!K89</f>
        <v>2.0025506296889937</v>
      </c>
      <c r="S89" s="2">
        <f>Model_2!K89</f>
        <v>2.5660661775485716</v>
      </c>
      <c r="T89" s="2">
        <f ca="1">Model_3!K89</f>
        <v>2.7162673128107997</v>
      </c>
      <c r="U89" s="2">
        <f>Model_4!K89</f>
        <v>2.5293019140840478</v>
      </c>
      <c r="V89" s="2">
        <f>Model_1!L89</f>
        <v>49.999999999999993</v>
      </c>
      <c r="W89" s="2">
        <f>Model_2!L89</f>
        <v>50</v>
      </c>
      <c r="X89" s="2">
        <f ca="1">Model_3!L89</f>
        <v>50</v>
      </c>
      <c r="Y89" s="2">
        <f>Model_4!L89</f>
        <v>50</v>
      </c>
      <c r="Z89" s="2">
        <f>Model_1!M89</f>
        <v>100.12753148444966</v>
      </c>
      <c r="AA89" s="2">
        <f>Model_2!M89</f>
        <v>128.30330887742858</v>
      </c>
      <c r="AB89" s="2">
        <f ca="1">Model_3!M89</f>
        <v>135.81336564053998</v>
      </c>
      <c r="AC89" s="2">
        <f>Model_4!M89</f>
        <v>126.46509570420238</v>
      </c>
      <c r="AD89" s="2">
        <f>Model_1!N89</f>
        <v>1.0012753148444966</v>
      </c>
      <c r="AE89" s="2">
        <f>Model_2!N89</f>
        <v>1.2830330887742858</v>
      </c>
      <c r="AF89" s="2">
        <f ca="1">Model_3!N89</f>
        <v>1.3581336564053998</v>
      </c>
      <c r="AG89" s="2">
        <f>Model_4!N89</f>
        <v>1.2646509570420239</v>
      </c>
    </row>
    <row r="90" spans="1:33" x14ac:dyDescent="0.3">
      <c r="A90" s="1">
        <v>88</v>
      </c>
      <c r="B90" s="2">
        <f>Model_1!G90</f>
        <v>3.5958196054217684E-2</v>
      </c>
      <c r="C90" s="2">
        <f>Model_2!G90</f>
        <v>0</v>
      </c>
      <c r="D90" s="2">
        <f ca="1">Model_3!G90</f>
        <v>0</v>
      </c>
      <c r="E90" s="2">
        <f>Model_4!G90</f>
        <v>11.508233421455131</v>
      </c>
      <c r="F90" s="2">
        <f>Model_1!H90</f>
        <v>499.40141420127992</v>
      </c>
      <c r="G90" s="2">
        <f>Model_2!H90</f>
        <v>637.10808896631931</v>
      </c>
      <c r="H90" s="2">
        <f ca="1">Model_3!H90</f>
        <v>589.04364546665931</v>
      </c>
      <c r="I90" s="2">
        <f>Model_4!H90</f>
        <v>645.28885823310702</v>
      </c>
      <c r="J90" s="2">
        <f>Model_1!I90</f>
        <v>0</v>
      </c>
      <c r="K90" s="2">
        <f>Model_2!I90</f>
        <v>5.4843235586527737</v>
      </c>
      <c r="L90" s="2">
        <f ca="1">Model_3!I90</f>
        <v>3.5617458186663691</v>
      </c>
      <c r="M90" s="2">
        <f>Model_4!I90</f>
        <v>0</v>
      </c>
      <c r="N90" s="2">
        <f>Model_1!J90</f>
        <v>1000</v>
      </c>
      <c r="O90" s="2">
        <f>Model_2!J90</f>
        <v>1000</v>
      </c>
      <c r="P90" s="2">
        <f>Model_3!J90</f>
        <v>1000</v>
      </c>
      <c r="Q90" s="2">
        <f>Model_4!J90</f>
        <v>1600</v>
      </c>
      <c r="R90" s="2">
        <f>Model_1!K90</f>
        <v>2.0023972130702812</v>
      </c>
      <c r="S90" s="2">
        <f>Model_2!K90</f>
        <v>1.5695923773663858</v>
      </c>
      <c r="T90" s="2">
        <f ca="1">Model_3!K90</f>
        <v>1.6976670705067498</v>
      </c>
      <c r="U90" s="2">
        <f>Model_4!K90</f>
        <v>2.4795097258939638</v>
      </c>
      <c r="V90" s="2">
        <f>Model_1!L90</f>
        <v>50</v>
      </c>
      <c r="W90" s="2">
        <f>Model_2!L90</f>
        <v>50</v>
      </c>
      <c r="X90" s="2">
        <f ca="1">Model_3!L90</f>
        <v>50</v>
      </c>
      <c r="Y90" s="2">
        <f>Model_4!L90</f>
        <v>50</v>
      </c>
      <c r="Z90" s="2">
        <f>Model_1!M90</f>
        <v>100.11986065351405</v>
      </c>
      <c r="AA90" s="2">
        <f>Model_2!M90</f>
        <v>78.479618868319292</v>
      </c>
      <c r="AB90" s="2">
        <f ca="1">Model_3!M90</f>
        <v>84.883353525337498</v>
      </c>
      <c r="AC90" s="2">
        <f>Model_4!M90</f>
        <v>123.97548629469819</v>
      </c>
      <c r="AD90" s="2">
        <f>Model_1!N90</f>
        <v>1.0011986065351406</v>
      </c>
      <c r="AE90" s="2">
        <f>Model_2!N90</f>
        <v>0.7847961886831929</v>
      </c>
      <c r="AF90" s="2">
        <f ca="1">Model_3!N90</f>
        <v>0.84883353525337502</v>
      </c>
      <c r="AG90" s="2">
        <f>Model_4!N90</f>
        <v>1.2397548629469819</v>
      </c>
    </row>
    <row r="91" spans="1:33" x14ac:dyDescent="0.3">
      <c r="A91" s="1">
        <v>89</v>
      </c>
      <c r="B91" s="2">
        <f>Model_1!G91</f>
        <v>3.379568493034002E-2</v>
      </c>
      <c r="C91" s="2">
        <f>Model_2!G91</f>
        <v>0</v>
      </c>
      <c r="D91" s="2">
        <f ca="1">Model_3!G91</f>
        <v>11.085320091518248</v>
      </c>
      <c r="E91" s="2">
        <f>Model_4!G91</f>
        <v>10.465545124849932</v>
      </c>
      <c r="F91" s="2">
        <f>Model_1!H91</f>
        <v>499.43737239733412</v>
      </c>
      <c r="G91" s="2">
        <f>Model_2!H91</f>
        <v>631.6237654076665</v>
      </c>
      <c r="H91" s="2">
        <f ca="1">Model_3!H91</f>
        <v>585.48189964799292</v>
      </c>
      <c r="I91" s="2">
        <f>Model_4!H91</f>
        <v>656.79709165456211</v>
      </c>
      <c r="J91" s="2">
        <f>Model_1!I91</f>
        <v>0</v>
      </c>
      <c r="K91" s="2">
        <f>Model_2!I91</f>
        <v>5.2649506163066597</v>
      </c>
      <c r="L91" s="2">
        <f ca="1">Model_3!I91</f>
        <v>3.4192759859197177</v>
      </c>
      <c r="M91" s="2">
        <f>Model_4!I91</f>
        <v>0</v>
      </c>
      <c r="N91" s="2">
        <f>Model_1!J91</f>
        <v>1000</v>
      </c>
      <c r="O91" s="2">
        <f>Model_2!J91</f>
        <v>1000</v>
      </c>
      <c r="P91" s="2">
        <f>Model_3!J91</f>
        <v>1000</v>
      </c>
      <c r="Q91" s="2">
        <f>Model_4!J91</f>
        <v>1600</v>
      </c>
      <c r="R91" s="2">
        <f>Model_1!K91</f>
        <v>2.0022530456620227</v>
      </c>
      <c r="S91" s="2">
        <f>Model_2!K91</f>
        <v>1.5832209849712888</v>
      </c>
      <c r="T91" s="2">
        <f ca="1">Model_3!K91</f>
        <v>1.7079947315215487</v>
      </c>
      <c r="U91" s="2">
        <f>Model_4!K91</f>
        <v>2.4360643802020805</v>
      </c>
      <c r="V91" s="2">
        <f>Model_1!L91</f>
        <v>50</v>
      </c>
      <c r="W91" s="2">
        <f>Model_2!L91</f>
        <v>50</v>
      </c>
      <c r="X91" s="2">
        <f ca="1">Model_3!L91</f>
        <v>50</v>
      </c>
      <c r="Y91" s="2">
        <f>Model_4!L91</f>
        <v>50</v>
      </c>
      <c r="Z91" s="2">
        <f>Model_1!M91</f>
        <v>100.11265228310113</v>
      </c>
      <c r="AA91" s="2">
        <f>Model_2!M91</f>
        <v>79.161049248564439</v>
      </c>
      <c r="AB91" s="2">
        <f ca="1">Model_3!M91</f>
        <v>85.39973657607743</v>
      </c>
      <c r="AC91" s="2">
        <f>Model_4!M91</f>
        <v>121.80321901010403</v>
      </c>
      <c r="AD91" s="2">
        <f>Model_1!N91</f>
        <v>1.0011265228310113</v>
      </c>
      <c r="AE91" s="2">
        <f>Model_2!N91</f>
        <v>0.79161049248564441</v>
      </c>
      <c r="AF91" s="2">
        <f ca="1">Model_3!N91</f>
        <v>0.85399736576077434</v>
      </c>
      <c r="AG91" s="2">
        <f>Model_4!N91</f>
        <v>1.2180321901010402</v>
      </c>
    </row>
    <row r="92" spans="1:33" x14ac:dyDescent="0.3">
      <c r="A92" s="1">
        <v>90</v>
      </c>
      <c r="B92" s="2">
        <f>Model_1!G92</f>
        <v>3.1763510180142784E-2</v>
      </c>
      <c r="C92" s="2">
        <f>Model_2!G92</f>
        <v>13.306712850829829</v>
      </c>
      <c r="D92" s="2">
        <f ca="1">Model_3!G92</f>
        <v>0</v>
      </c>
      <c r="E92" s="2">
        <f>Model_4!G92</f>
        <v>9.5485541725222056</v>
      </c>
      <c r="F92" s="2">
        <f>Model_1!H92</f>
        <v>499.47116808226446</v>
      </c>
      <c r="G92" s="2">
        <f>Model_2!H92</f>
        <v>626.3588147913598</v>
      </c>
      <c r="H92" s="2">
        <f ca="1">Model_3!H92</f>
        <v>593.14794375359145</v>
      </c>
      <c r="I92" s="2">
        <f>Model_4!H92</f>
        <v>667.26263677941199</v>
      </c>
      <c r="J92" s="2">
        <f>Model_1!I92</f>
        <v>0</v>
      </c>
      <c r="K92" s="2">
        <f>Model_2!I92</f>
        <v>0</v>
      </c>
      <c r="L92" s="2">
        <f ca="1">Model_3!I92</f>
        <v>0</v>
      </c>
      <c r="M92" s="2">
        <f>Model_4!I92</f>
        <v>0</v>
      </c>
      <c r="N92" s="2">
        <f>Model_1!J92</f>
        <v>1000</v>
      </c>
      <c r="O92" s="2">
        <f>Model_2!J92</f>
        <v>1600</v>
      </c>
      <c r="P92" s="2">
        <f>Model_3!J92</f>
        <v>1600</v>
      </c>
      <c r="Q92" s="2">
        <f>Model_4!J92</f>
        <v>1600</v>
      </c>
      <c r="R92" s="2">
        <f>Model_1!K92</f>
        <v>2.0021175673453424</v>
      </c>
      <c r="S92" s="2">
        <f>Model_2!K92</f>
        <v>2.5544463687845762</v>
      </c>
      <c r="T92" s="2">
        <f ca="1">Model_3!K92</f>
        <v>2.6974720503535625</v>
      </c>
      <c r="U92" s="2">
        <f>Model_4!K92</f>
        <v>2.3978564238550919</v>
      </c>
      <c r="V92" s="2">
        <f>Model_1!L92</f>
        <v>50.000000000000014</v>
      </c>
      <c r="W92" s="2">
        <f>Model_2!L92</f>
        <v>50</v>
      </c>
      <c r="X92" s="2">
        <f ca="1">Model_3!L92</f>
        <v>50</v>
      </c>
      <c r="Y92" s="2">
        <f>Model_4!L92</f>
        <v>50</v>
      </c>
      <c r="Z92" s="2">
        <f>Model_1!M92</f>
        <v>100.10587836726715</v>
      </c>
      <c r="AA92" s="2">
        <f>Model_2!M92</f>
        <v>127.72231843922881</v>
      </c>
      <c r="AB92" s="2">
        <f ca="1">Model_3!M92</f>
        <v>134.87360251767814</v>
      </c>
      <c r="AC92" s="2">
        <f>Model_4!M92</f>
        <v>119.8928211927546</v>
      </c>
      <c r="AD92" s="2">
        <f>Model_1!N92</f>
        <v>1.0010587836726714</v>
      </c>
      <c r="AE92" s="2">
        <f>Model_2!N92</f>
        <v>1.2772231843922881</v>
      </c>
      <c r="AF92" s="2">
        <f ca="1">Model_3!N92</f>
        <v>1.3487360251767813</v>
      </c>
      <c r="AG92" s="2">
        <f>Model_4!N92</f>
        <v>1.198928211927546</v>
      </c>
    </row>
    <row r="93" spans="1:33" x14ac:dyDescent="0.3">
      <c r="A93" s="1">
        <v>91</v>
      </c>
      <c r="B93" s="2">
        <f>Model_1!G93</f>
        <v>2.9853783198270367E-2</v>
      </c>
      <c r="C93" s="2">
        <f>Model_2!G93</f>
        <v>0</v>
      </c>
      <c r="D93" s="2">
        <f ca="1">Model_3!G93</f>
        <v>0</v>
      </c>
      <c r="E93" s="2">
        <f>Model_4!G93</f>
        <v>0</v>
      </c>
      <c r="F93" s="2">
        <f>Model_1!H93</f>
        <v>499.50293159244461</v>
      </c>
      <c r="G93" s="2">
        <f>Model_2!H93</f>
        <v>639.66552764218966</v>
      </c>
      <c r="H93" s="2">
        <f ca="1">Model_3!H93</f>
        <v>593.14794375359145</v>
      </c>
      <c r="I93" s="2">
        <f>Model_4!H93</f>
        <v>676.81119095193424</v>
      </c>
      <c r="J93" s="2">
        <f>Model_1!I93</f>
        <v>0</v>
      </c>
      <c r="K93" s="2">
        <f>Model_2!I93</f>
        <v>17.586621105687584</v>
      </c>
      <c r="L93" s="2">
        <f ca="1">Model_3!I93</f>
        <v>15.725917750143658</v>
      </c>
      <c r="M93" s="2">
        <f>Model_4!I93</f>
        <v>19.072447638077371</v>
      </c>
      <c r="N93" s="2">
        <f>Model_1!J93</f>
        <v>1000</v>
      </c>
      <c r="O93" s="2">
        <f>Model_2!J93</f>
        <v>400</v>
      </c>
      <c r="P93" s="2">
        <f>Model_3!J93</f>
        <v>400</v>
      </c>
      <c r="Q93" s="2">
        <f>Model_4!J93</f>
        <v>400</v>
      </c>
      <c r="R93" s="2">
        <f>Model_1!K93</f>
        <v>2.001990252213218</v>
      </c>
      <c r="S93" s="2">
        <f>Model_2!K93</f>
        <v>0.62532680395393825</v>
      </c>
      <c r="T93" s="2">
        <f ca="1">Model_3!K93</f>
        <v>0.67436801258839063</v>
      </c>
      <c r="U93" s="2">
        <f>Model_4!K93</f>
        <v>0.59100677611048424</v>
      </c>
      <c r="V93" s="2">
        <f>Model_1!L93</f>
        <v>50</v>
      </c>
      <c r="W93" s="2">
        <f>Model_2!L93</f>
        <v>50</v>
      </c>
      <c r="X93" s="2">
        <f ca="1">Model_3!L93</f>
        <v>50</v>
      </c>
      <c r="Y93" s="2">
        <f>Model_4!L93</f>
        <v>50</v>
      </c>
      <c r="Z93" s="2">
        <f>Model_1!M93</f>
        <v>100.0995126106609</v>
      </c>
      <c r="AA93" s="2">
        <f>Model_2!M93</f>
        <v>31.266340197696913</v>
      </c>
      <c r="AB93" s="2">
        <f ca="1">Model_3!M93</f>
        <v>33.718400629419534</v>
      </c>
      <c r="AC93" s="2">
        <f>Model_4!M93</f>
        <v>29.550338805524213</v>
      </c>
      <c r="AD93" s="2">
        <f>Model_1!N93</f>
        <v>1.000995126106609</v>
      </c>
      <c r="AE93" s="2">
        <f>Model_2!N93</f>
        <v>0.31266340197696912</v>
      </c>
      <c r="AF93" s="2">
        <f ca="1">Model_3!N93</f>
        <v>0.33718400629419532</v>
      </c>
      <c r="AG93" s="2">
        <f>Model_4!N93</f>
        <v>0.29550338805524212</v>
      </c>
    </row>
    <row r="94" spans="1:33" x14ac:dyDescent="0.3">
      <c r="A94" s="1">
        <v>92</v>
      </c>
      <c r="B94" s="2">
        <f>Model_1!G94</f>
        <v>2.8059096702075514E-2</v>
      </c>
      <c r="C94" s="2">
        <f>Model_2!G94</f>
        <v>0</v>
      </c>
      <c r="D94" s="2">
        <f ca="1">Model_3!G94</f>
        <v>10.744009692161995</v>
      </c>
      <c r="E94" s="2">
        <f>Model_4!G94</f>
        <v>0</v>
      </c>
      <c r="F94" s="2">
        <f>Model_1!H94</f>
        <v>499.5327853756429</v>
      </c>
      <c r="G94" s="2">
        <f>Model_2!H94</f>
        <v>622.07890653650202</v>
      </c>
      <c r="H94" s="2">
        <f ca="1">Model_3!H94</f>
        <v>577.42202600344774</v>
      </c>
      <c r="I94" s="2">
        <f>Model_4!H94</f>
        <v>657.73874331385684</v>
      </c>
      <c r="J94" s="2">
        <f>Model_1!I94</f>
        <v>0</v>
      </c>
      <c r="K94" s="2">
        <f>Model_2!I94</f>
        <v>4.8831562614600799</v>
      </c>
      <c r="L94" s="2">
        <f ca="1">Model_3!I94</f>
        <v>3.0968810401379097</v>
      </c>
      <c r="M94" s="2">
        <f>Model_4!I94</f>
        <v>18.309549732554274</v>
      </c>
      <c r="N94" s="2">
        <f>Model_1!J94</f>
        <v>1000</v>
      </c>
      <c r="O94" s="2">
        <f>Model_2!J94</f>
        <v>1000</v>
      </c>
      <c r="P94" s="2">
        <f>Model_3!J94</f>
        <v>1000</v>
      </c>
      <c r="Q94" s="2">
        <f>Model_4!J94</f>
        <v>400</v>
      </c>
      <c r="R94" s="2">
        <f>Model_1!K94</f>
        <v>2.001870606446805</v>
      </c>
      <c r="S94" s="2">
        <f>Model_2!K94</f>
        <v>1.6075131136781642</v>
      </c>
      <c r="T94" s="2">
        <f ca="1">Model_3!K94</f>
        <v>1.7318355638792848</v>
      </c>
      <c r="U94" s="2">
        <f>Model_4!K94</f>
        <v>0.60814419716968049</v>
      </c>
      <c r="V94" s="2">
        <f>Model_1!L94</f>
        <v>50</v>
      </c>
      <c r="W94" s="2">
        <f>Model_2!L94</f>
        <v>50</v>
      </c>
      <c r="X94" s="2">
        <f ca="1">Model_3!L94</f>
        <v>50</v>
      </c>
      <c r="Y94" s="2">
        <f>Model_4!L94</f>
        <v>50</v>
      </c>
      <c r="Z94" s="2">
        <f>Model_1!M94</f>
        <v>100.09353032234026</v>
      </c>
      <c r="AA94" s="2">
        <f>Model_2!M94</f>
        <v>80.375655683908207</v>
      </c>
      <c r="AB94" s="2">
        <f ca="1">Model_3!M94</f>
        <v>86.591778193964245</v>
      </c>
      <c r="AC94" s="2">
        <f>Model_4!M94</f>
        <v>30.407209858484023</v>
      </c>
      <c r="AD94" s="2">
        <f>Model_1!N94</f>
        <v>1.0009353032234025</v>
      </c>
      <c r="AE94" s="2">
        <f>Model_2!N94</f>
        <v>0.80375655683908209</v>
      </c>
      <c r="AF94" s="2">
        <f ca="1">Model_3!N94</f>
        <v>0.86591778193964242</v>
      </c>
      <c r="AG94" s="2">
        <f>Model_4!N94</f>
        <v>0.30407209858484024</v>
      </c>
    </row>
    <row r="95" spans="1:33" x14ac:dyDescent="0.3">
      <c r="A95" s="1">
        <v>93</v>
      </c>
      <c r="B95" s="2">
        <f>Model_1!G95</f>
        <v>2.6372494913144973E-2</v>
      </c>
      <c r="C95" s="2">
        <f>Model_2!G95</f>
        <v>14.21688983258187</v>
      </c>
      <c r="D95" s="2">
        <f ca="1">Model_3!G95</f>
        <v>0</v>
      </c>
      <c r="E95" s="2">
        <f>Model_4!G95</f>
        <v>0</v>
      </c>
      <c r="F95" s="2">
        <f>Model_1!H95</f>
        <v>499.56084447234497</v>
      </c>
      <c r="G95" s="2">
        <f>Model_2!H95</f>
        <v>617.19575027504197</v>
      </c>
      <c r="H95" s="2">
        <f ca="1">Model_3!H95</f>
        <v>585.06915465547183</v>
      </c>
      <c r="I95" s="2">
        <f>Model_4!H95</f>
        <v>639.42919358130257</v>
      </c>
      <c r="J95" s="2">
        <f>Model_1!I95</f>
        <v>0</v>
      </c>
      <c r="K95" s="2">
        <f>Model_2!I95</f>
        <v>0</v>
      </c>
      <c r="L95" s="2">
        <f ca="1">Model_3!I95</f>
        <v>0</v>
      </c>
      <c r="M95" s="2">
        <f>Model_4!I95</f>
        <v>17.577167743252105</v>
      </c>
      <c r="N95" s="2">
        <f>Model_1!J95</f>
        <v>1000</v>
      </c>
      <c r="O95" s="2">
        <f>Model_2!J95</f>
        <v>1600</v>
      </c>
      <c r="P95" s="2">
        <f>Model_3!J95</f>
        <v>1600</v>
      </c>
      <c r="Q95" s="2">
        <f>Model_4!J95</f>
        <v>400</v>
      </c>
      <c r="R95" s="2">
        <f>Model_1!K95</f>
        <v>2.0017581663275426</v>
      </c>
      <c r="S95" s="2">
        <f>Model_2!K95</f>
        <v>2.5923704096909113</v>
      </c>
      <c r="T95" s="2">
        <f ca="1">Model_3!K95</f>
        <v>2.7347194554158096</v>
      </c>
      <c r="U95" s="2">
        <f>Model_4!K95</f>
        <v>0.62555792574888203</v>
      </c>
      <c r="V95" s="2">
        <f>Model_1!L95</f>
        <v>50.000000000000014</v>
      </c>
      <c r="W95" s="2">
        <f>Model_2!L95</f>
        <v>50</v>
      </c>
      <c r="X95" s="2">
        <f ca="1">Model_3!L95</f>
        <v>50</v>
      </c>
      <c r="Y95" s="2">
        <f>Model_4!L95</f>
        <v>50</v>
      </c>
      <c r="Z95" s="2">
        <f>Model_1!M95</f>
        <v>100.08790831637715</v>
      </c>
      <c r="AA95" s="2">
        <f>Model_2!M95</f>
        <v>129.61852048454557</v>
      </c>
      <c r="AB95" s="2">
        <f ca="1">Model_3!M95</f>
        <v>136.73597277079048</v>
      </c>
      <c r="AC95" s="2">
        <f>Model_4!M95</f>
        <v>31.277896287444101</v>
      </c>
      <c r="AD95" s="2">
        <f>Model_1!N95</f>
        <v>1.0008790831637715</v>
      </c>
      <c r="AE95" s="2">
        <f>Model_2!N95</f>
        <v>1.2961852048454556</v>
      </c>
      <c r="AF95" s="2">
        <f ca="1">Model_3!N95</f>
        <v>1.3673597277079048</v>
      </c>
      <c r="AG95" s="2">
        <f>Model_4!N95</f>
        <v>0.31277896287444101</v>
      </c>
    </row>
    <row r="96" spans="1:33" x14ac:dyDescent="0.3">
      <c r="A96" s="1">
        <v>94</v>
      </c>
      <c r="B96" s="2">
        <f>Model_1!G96</f>
        <v>2.4787445638485561E-2</v>
      </c>
      <c r="C96" s="2">
        <f>Model_2!G96</f>
        <v>0</v>
      </c>
      <c r="D96" s="2">
        <f ca="1">Model_3!G96</f>
        <v>0</v>
      </c>
      <c r="E96" s="2">
        <f>Model_4!G96</f>
        <v>0</v>
      </c>
      <c r="F96" s="2">
        <f>Model_1!H96</f>
        <v>499.58721696725809</v>
      </c>
      <c r="G96" s="2">
        <f>Model_2!H96</f>
        <v>631.41264010762382</v>
      </c>
      <c r="H96" s="2">
        <f ca="1">Model_3!H96</f>
        <v>585.06915465547183</v>
      </c>
      <c r="I96" s="2">
        <f>Model_4!H96</f>
        <v>621.85202583805051</v>
      </c>
      <c r="J96" s="2">
        <f>Model_1!I96</f>
        <v>0</v>
      </c>
      <c r="K96" s="2">
        <f>Model_2!I96</f>
        <v>5.2565056043049525</v>
      </c>
      <c r="L96" s="2">
        <f ca="1">Model_3!I96</f>
        <v>3.4027661862188747</v>
      </c>
      <c r="M96" s="2">
        <f>Model_4!I96</f>
        <v>16.874081033522021</v>
      </c>
      <c r="N96" s="2">
        <f>Model_1!J96</f>
        <v>1000</v>
      </c>
      <c r="O96" s="2">
        <f>Model_2!J96</f>
        <v>1000</v>
      </c>
      <c r="P96" s="2">
        <f>Model_3!J96</f>
        <v>1000</v>
      </c>
      <c r="Q96" s="2">
        <f>Model_4!J96</f>
        <v>400</v>
      </c>
      <c r="R96" s="2">
        <f>Model_1!K96</f>
        <v>2.001652496375899</v>
      </c>
      <c r="S96" s="2">
        <f>Model_2!K96</f>
        <v>1.5837503662098857</v>
      </c>
      <c r="T96" s="2">
        <f ca="1">Model_3!K96</f>
        <v>1.7091996596348811</v>
      </c>
      <c r="U96" s="2">
        <f>Model_4!K96</f>
        <v>0.64323984385341915</v>
      </c>
      <c r="V96" s="2">
        <f>Model_1!L96</f>
        <v>50</v>
      </c>
      <c r="W96" s="2">
        <f>Model_2!L96</f>
        <v>50</v>
      </c>
      <c r="X96" s="2">
        <f ca="1">Model_3!L96</f>
        <v>50</v>
      </c>
      <c r="Y96" s="2">
        <f>Model_4!L96</f>
        <v>50</v>
      </c>
      <c r="Z96" s="2">
        <f>Model_1!M96</f>
        <v>100.08262481879495</v>
      </c>
      <c r="AA96" s="2">
        <f>Model_2!M96</f>
        <v>79.187518310494283</v>
      </c>
      <c r="AB96" s="2">
        <f ca="1">Model_3!M96</f>
        <v>85.459982981744048</v>
      </c>
      <c r="AC96" s="2">
        <f>Model_4!M96</f>
        <v>32.161992192670958</v>
      </c>
      <c r="AD96" s="2">
        <f>Model_1!N96</f>
        <v>1.0008262481879495</v>
      </c>
      <c r="AE96" s="2">
        <f>Model_2!N96</f>
        <v>0.79187518310494287</v>
      </c>
      <c r="AF96" s="2">
        <f ca="1">Model_3!N96</f>
        <v>0.85459982981744043</v>
      </c>
      <c r="AG96" s="2">
        <f>Model_4!N96</f>
        <v>0.32161992192670957</v>
      </c>
    </row>
    <row r="97" spans="1:33" x14ac:dyDescent="0.3">
      <c r="A97" s="1">
        <v>95</v>
      </c>
      <c r="B97" s="2">
        <f>Model_1!G97</f>
        <v>2.3297814124345617E-2</v>
      </c>
      <c r="C97" s="2">
        <f>Model_2!G97</f>
        <v>0</v>
      </c>
      <c r="D97" s="2">
        <f ca="1">Model_3!G97</f>
        <v>10.462080755303438</v>
      </c>
      <c r="E97" s="2">
        <f>Model_4!G97</f>
        <v>0</v>
      </c>
      <c r="F97" s="2">
        <f>Model_1!H97</f>
        <v>499.61200441289657</v>
      </c>
      <c r="G97" s="2">
        <f>Model_2!H97</f>
        <v>626.15613450331887</v>
      </c>
      <c r="H97" s="2">
        <f ca="1">Model_3!H97</f>
        <v>581.66638846925298</v>
      </c>
      <c r="I97" s="2">
        <f>Model_4!H97</f>
        <v>604.97794480452853</v>
      </c>
      <c r="J97" s="2">
        <f>Model_1!I97</f>
        <v>0</v>
      </c>
      <c r="K97" s="2">
        <f>Model_2!I97</f>
        <v>5.0462453801327509</v>
      </c>
      <c r="L97" s="2">
        <f ca="1">Model_3!I97</f>
        <v>3.2666555387701202</v>
      </c>
      <c r="M97" s="2">
        <f>Model_4!I97</f>
        <v>16.199117792181145</v>
      </c>
      <c r="N97" s="2">
        <f>Model_1!J97</f>
        <v>1000</v>
      </c>
      <c r="O97" s="2">
        <f>Model_2!J97</f>
        <v>1000</v>
      </c>
      <c r="P97" s="2">
        <f>Model_3!J97</f>
        <v>1000</v>
      </c>
      <c r="Q97" s="2">
        <f>Model_4!J97</f>
        <v>400</v>
      </c>
      <c r="R97" s="2">
        <f>Model_1!K97</f>
        <v>2.0015531876082897</v>
      </c>
      <c r="S97" s="2">
        <f>Model_2!K97</f>
        <v>1.5970457604687087</v>
      </c>
      <c r="T97" s="2">
        <f ca="1">Model_3!K97</f>
        <v>1.7191985299883976</v>
      </c>
      <c r="U97" s="2">
        <f>Model_4!K97</f>
        <v>0.66118112806449836</v>
      </c>
      <c r="V97" s="2">
        <f>Model_1!L97</f>
        <v>50</v>
      </c>
      <c r="W97" s="2">
        <f>Model_2!L97</f>
        <v>50.000000000000014</v>
      </c>
      <c r="X97" s="2">
        <f ca="1">Model_3!L97</f>
        <v>50</v>
      </c>
      <c r="Y97" s="2">
        <f>Model_4!L97</f>
        <v>50</v>
      </c>
      <c r="Z97" s="2">
        <f>Model_1!M97</f>
        <v>100.07765938041449</v>
      </c>
      <c r="AA97" s="2">
        <f>Model_2!M97</f>
        <v>79.852288023435463</v>
      </c>
      <c r="AB97" s="2">
        <f ca="1">Model_3!M97</f>
        <v>85.959926499419879</v>
      </c>
      <c r="AC97" s="2">
        <f>Model_4!M97</f>
        <v>33.059056403224915</v>
      </c>
      <c r="AD97" s="2">
        <f>Model_1!N97</f>
        <v>1.0007765938041449</v>
      </c>
      <c r="AE97" s="2">
        <f>Model_2!N97</f>
        <v>0.79852288023435458</v>
      </c>
      <c r="AF97" s="2">
        <f ca="1">Model_3!N97</f>
        <v>0.85959926499419881</v>
      </c>
      <c r="AG97" s="2">
        <f>Model_4!N97</f>
        <v>0.33059056403224912</v>
      </c>
    </row>
    <row r="98" spans="1:33" x14ac:dyDescent="0.3">
      <c r="A98" s="1">
        <v>96</v>
      </c>
      <c r="B98" s="2">
        <f>Model_1!G98</f>
        <v>2.1897838564659544E-2</v>
      </c>
      <c r="C98" s="2">
        <f>Model_2!G98</f>
        <v>13.824808576480482</v>
      </c>
      <c r="D98" s="2">
        <f ca="1">Model_3!G98</f>
        <v>0</v>
      </c>
      <c r="E98" s="2">
        <f>Model_4!G98</f>
        <v>0</v>
      </c>
      <c r="F98" s="2">
        <f>Model_1!H98</f>
        <v>499.63530222702093</v>
      </c>
      <c r="G98" s="2">
        <f>Model_2!H98</f>
        <v>621.10988912318612</v>
      </c>
      <c r="H98" s="2">
        <f ca="1">Model_3!H98</f>
        <v>588.86181368578627</v>
      </c>
      <c r="I98" s="2">
        <f>Model_4!H98</f>
        <v>588.77882701234739</v>
      </c>
      <c r="J98" s="2">
        <f>Model_1!I98</f>
        <v>0</v>
      </c>
      <c r="K98" s="2">
        <f>Model_2!I98</f>
        <v>0</v>
      </c>
      <c r="L98" s="2">
        <f ca="1">Model_3!I98</f>
        <v>0</v>
      </c>
      <c r="M98" s="2">
        <f>Model_4!I98</f>
        <v>15.551153080493895</v>
      </c>
      <c r="N98" s="2">
        <f>Model_1!J98</f>
        <v>1000</v>
      </c>
      <c r="O98" s="2">
        <f>Model_2!J98</f>
        <v>1600</v>
      </c>
      <c r="P98" s="2">
        <f>Model_3!J98</f>
        <v>1600</v>
      </c>
      <c r="Q98" s="2">
        <f>Model_4!J98</f>
        <v>400</v>
      </c>
      <c r="R98" s="2">
        <f>Model_1!K98</f>
        <v>2.0014598559043106</v>
      </c>
      <c r="S98" s="2">
        <f>Model_2!K98</f>
        <v>2.5760336906866868</v>
      </c>
      <c r="T98" s="2">
        <f ca="1">Model_3!K98</f>
        <v>2.717106055808455</v>
      </c>
      <c r="U98" s="2">
        <f>Model_4!K98</f>
        <v>0.67937225601288742</v>
      </c>
      <c r="V98" s="2">
        <f>Model_1!L98</f>
        <v>50</v>
      </c>
      <c r="W98" s="2">
        <f>Model_2!L98</f>
        <v>50</v>
      </c>
      <c r="X98" s="2">
        <f ca="1">Model_3!L98</f>
        <v>50</v>
      </c>
      <c r="Y98" s="2">
        <f>Model_4!L98</f>
        <v>50</v>
      </c>
      <c r="Z98" s="2">
        <f>Model_1!M98</f>
        <v>100.07299279521553</v>
      </c>
      <c r="AA98" s="2">
        <f>Model_2!M98</f>
        <v>128.80168453433433</v>
      </c>
      <c r="AB98" s="2">
        <f ca="1">Model_3!M98</f>
        <v>135.85530279042274</v>
      </c>
      <c r="AC98" s="2">
        <f>Model_4!M98</f>
        <v>33.968612800644372</v>
      </c>
      <c r="AD98" s="2">
        <f>Model_1!N98</f>
        <v>1.0007299279521553</v>
      </c>
      <c r="AE98" s="2">
        <f>Model_2!N98</f>
        <v>1.2880168453433434</v>
      </c>
      <c r="AF98" s="2">
        <f ca="1">Model_3!N98</f>
        <v>1.3585530279042275</v>
      </c>
      <c r="AG98" s="2">
        <f>Model_4!N98</f>
        <v>0.33968612800644371</v>
      </c>
    </row>
    <row r="99" spans="1:33" x14ac:dyDescent="0.3">
      <c r="A99" s="1">
        <v>97</v>
      </c>
      <c r="B99" s="2">
        <f>Model_1!G99</f>
        <v>2.0582107154829554E-2</v>
      </c>
      <c r="C99" s="2">
        <f>Model_2!G99</f>
        <v>0</v>
      </c>
      <c r="D99" s="2">
        <f ca="1">Model_3!G99</f>
        <v>0</v>
      </c>
      <c r="E99" s="2">
        <f>Model_4!G99</f>
        <v>0</v>
      </c>
      <c r="F99" s="2">
        <f>Model_1!H99</f>
        <v>499.65720006558558</v>
      </c>
      <c r="G99" s="2">
        <f>Model_2!H99</f>
        <v>634.93469769966657</v>
      </c>
      <c r="H99" s="2">
        <f ca="1">Model_3!H99</f>
        <v>588.86181368578627</v>
      </c>
      <c r="I99" s="2">
        <f>Model_4!H99</f>
        <v>573.22767393185347</v>
      </c>
      <c r="J99" s="2">
        <f>Model_1!I99</f>
        <v>0</v>
      </c>
      <c r="K99" s="2">
        <f>Model_2!I99</f>
        <v>5.3973879079866656</v>
      </c>
      <c r="L99" s="2">
        <f ca="1">Model_3!I99</f>
        <v>3.5544725474314549</v>
      </c>
      <c r="M99" s="2">
        <f>Model_4!I99</f>
        <v>14.929106957274136</v>
      </c>
      <c r="N99" s="2">
        <f>Model_1!J99</f>
        <v>1000</v>
      </c>
      <c r="O99" s="2">
        <f>Model_2!J99</f>
        <v>1000</v>
      </c>
      <c r="P99" s="2">
        <f>Model_3!J99</f>
        <v>1000</v>
      </c>
      <c r="Q99" s="2">
        <f>Model_4!J99</f>
        <v>400</v>
      </c>
      <c r="R99" s="2">
        <f>Model_1!K99</f>
        <v>2.0013721404769886</v>
      </c>
      <c r="S99" s="2">
        <f>Model_2!K99</f>
        <v>1.5749651162913996</v>
      </c>
      <c r="T99" s="2">
        <f ca="1">Model_3!K99</f>
        <v>1.6981912848802843</v>
      </c>
      <c r="U99" s="2">
        <f>Model_4!K99</f>
        <v>0.6978030164809399</v>
      </c>
      <c r="V99" s="2">
        <f>Model_1!L99</f>
        <v>50</v>
      </c>
      <c r="W99" s="2">
        <f>Model_2!L99</f>
        <v>50</v>
      </c>
      <c r="X99" s="2">
        <f ca="1">Model_3!L99</f>
        <v>50</v>
      </c>
      <c r="Y99" s="2">
        <f>Model_4!L99</f>
        <v>50</v>
      </c>
      <c r="Z99" s="2">
        <f>Model_1!M99</f>
        <v>100.06860702384944</v>
      </c>
      <c r="AA99" s="2">
        <f>Model_2!M99</f>
        <v>78.748255814569973</v>
      </c>
      <c r="AB99" s="2">
        <f ca="1">Model_3!M99</f>
        <v>84.909564244014206</v>
      </c>
      <c r="AC99" s="2">
        <f>Model_4!M99</f>
        <v>34.890150824046998</v>
      </c>
      <c r="AD99" s="2">
        <f>Model_1!N99</f>
        <v>1.0006860702384943</v>
      </c>
      <c r="AE99" s="2">
        <f>Model_2!N99</f>
        <v>0.78748255814569967</v>
      </c>
      <c r="AF99" s="2">
        <f ca="1">Model_3!N99</f>
        <v>0.84909564244014202</v>
      </c>
      <c r="AG99" s="2">
        <f>Model_4!N99</f>
        <v>0.34890150824047</v>
      </c>
    </row>
    <row r="100" spans="1:33" x14ac:dyDescent="0.3">
      <c r="A100" s="1">
        <v>98</v>
      </c>
      <c r="B100" s="2">
        <f>Model_1!G100</f>
        <v>1.9345536589112644E-2</v>
      </c>
      <c r="C100" s="2">
        <f>Model_2!G100</f>
        <v>0</v>
      </c>
      <c r="D100" s="2">
        <f ca="1">Model_3!G100</f>
        <v>4.4083167324948578</v>
      </c>
      <c r="E100" s="2">
        <f>Model_4!G100</f>
        <v>0</v>
      </c>
      <c r="F100" s="2">
        <f>Model_1!H100</f>
        <v>499.67778217274042</v>
      </c>
      <c r="G100" s="2">
        <f>Model_2!H100</f>
        <v>629.53730979167995</v>
      </c>
      <c r="H100" s="2">
        <f ca="1">Model_3!H100</f>
        <v>585.30734113835479</v>
      </c>
      <c r="I100" s="2">
        <f>Model_4!H100</f>
        <v>558.29856697457933</v>
      </c>
      <c r="J100" s="2">
        <f>Model_1!I100</f>
        <v>0</v>
      </c>
      <c r="K100" s="2">
        <f>Model_2!I100</f>
        <v>17.181492391667199</v>
      </c>
      <c r="L100" s="2">
        <f ca="1">Model_3!I100</f>
        <v>15.41229364553419</v>
      </c>
      <c r="M100" s="2">
        <f>Model_4!I100</f>
        <v>14.331942678983172</v>
      </c>
      <c r="N100" s="2">
        <f>Model_1!J100</f>
        <v>1000</v>
      </c>
      <c r="O100" s="2">
        <f>Model_2!J100</f>
        <v>400</v>
      </c>
      <c r="P100" s="2">
        <f>Model_3!J100</f>
        <v>400</v>
      </c>
      <c r="Q100" s="2">
        <f>Model_4!J100</f>
        <v>400</v>
      </c>
      <c r="R100" s="2">
        <f>Model_1!K100</f>
        <v>2.0012897024392737</v>
      </c>
      <c r="S100" s="2">
        <f>Model_2!K100</f>
        <v>0.63538728170434233</v>
      </c>
      <c r="T100" s="2">
        <f ca="1">Model_3!K100</f>
        <v>0.68340164540230519</v>
      </c>
      <c r="U100" s="2">
        <f>Model_4!K100</f>
        <v>0.71646252321155068</v>
      </c>
      <c r="V100" s="2">
        <f>Model_1!L100</f>
        <v>50.000000000000014</v>
      </c>
      <c r="W100" s="2">
        <f>Model_2!L100</f>
        <v>50</v>
      </c>
      <c r="X100" s="2">
        <f ca="1">Model_3!L100</f>
        <v>50</v>
      </c>
      <c r="Y100" s="2">
        <f>Model_4!L100</f>
        <v>50</v>
      </c>
      <c r="Z100" s="2">
        <f>Model_1!M100</f>
        <v>100.06448512196371</v>
      </c>
      <c r="AA100" s="2">
        <f>Model_2!M100</f>
        <v>31.769364085217116</v>
      </c>
      <c r="AB100" s="2">
        <f ca="1">Model_3!M100</f>
        <v>34.170082270115259</v>
      </c>
      <c r="AC100" s="2">
        <f>Model_4!M100</f>
        <v>35.823126160577537</v>
      </c>
      <c r="AD100" s="2">
        <f>Model_1!N100</f>
        <v>1.0006448512196371</v>
      </c>
      <c r="AE100" s="2">
        <f>Model_2!N100</f>
        <v>0.31769364085217117</v>
      </c>
      <c r="AF100" s="2">
        <f ca="1">Model_3!N100</f>
        <v>0.3417008227011526</v>
      </c>
      <c r="AG100" s="2">
        <f>Model_4!N100</f>
        <v>0.3582312616057754</v>
      </c>
    </row>
    <row r="101" spans="1:33" x14ac:dyDescent="0.3">
      <c r="A101" s="1">
        <v>99</v>
      </c>
      <c r="B101" s="2">
        <f>Model_1!G101</f>
        <v>1.8183351907115064E-2</v>
      </c>
      <c r="C101" s="2">
        <f>Model_2!G101</f>
        <v>14.708639174919025</v>
      </c>
      <c r="D101" s="2">
        <f ca="1">Model_3!G101</f>
        <v>0</v>
      </c>
      <c r="E101" s="2">
        <f>Model_4!G101</f>
        <v>0</v>
      </c>
      <c r="F101" s="2">
        <f>Model_1!H101</f>
        <v>499.69712770932955</v>
      </c>
      <c r="G101" s="2">
        <f>Model_2!H101</f>
        <v>612.35581740001271</v>
      </c>
      <c r="H101" s="2">
        <f ca="1">Model_3!H101</f>
        <v>574.30336422531548</v>
      </c>
      <c r="I101" s="2">
        <f>Model_4!H101</f>
        <v>543.96662429559615</v>
      </c>
      <c r="J101" s="2">
        <f>Model_1!I101</f>
        <v>0</v>
      </c>
      <c r="K101" s="2">
        <f>Model_2!I101</f>
        <v>0</v>
      </c>
      <c r="L101" s="2">
        <f ca="1">Model_3!I101</f>
        <v>0</v>
      </c>
      <c r="M101" s="2">
        <f>Model_4!I101</f>
        <v>13.758664971823848</v>
      </c>
      <c r="N101" s="2">
        <f>Model_1!J101</f>
        <v>1000</v>
      </c>
      <c r="O101" s="2">
        <f>Model_2!J101</f>
        <v>1600</v>
      </c>
      <c r="P101" s="2">
        <f>Model_3!J101</f>
        <v>1600</v>
      </c>
      <c r="Q101" s="2">
        <f>Model_4!J101</f>
        <v>400</v>
      </c>
      <c r="R101" s="2">
        <f>Model_1!K101</f>
        <v>2.0012122234604743</v>
      </c>
      <c r="S101" s="2">
        <f>Model_2!K101</f>
        <v>2.612859965621626</v>
      </c>
      <c r="T101" s="2">
        <f ca="1">Model_3!K101</f>
        <v>2.7859840280724435</v>
      </c>
      <c r="U101" s="2">
        <f>Model_4!K101</f>
        <v>0.73533923247216826</v>
      </c>
      <c r="V101" s="2">
        <f>Model_1!L101</f>
        <v>50</v>
      </c>
      <c r="W101" s="2">
        <f>Model_2!L101</f>
        <v>50</v>
      </c>
      <c r="X101" s="2">
        <f ca="1">Model_3!L101</f>
        <v>50</v>
      </c>
      <c r="Y101" s="2">
        <f>Model_4!L101</f>
        <v>50</v>
      </c>
      <c r="Z101" s="2">
        <f>Model_1!M101</f>
        <v>100.06061117302372</v>
      </c>
      <c r="AA101" s="2">
        <f>Model_2!M101</f>
        <v>130.6429982810813</v>
      </c>
      <c r="AB101" s="2">
        <f ca="1">Model_3!M101</f>
        <v>139.29920140362216</v>
      </c>
      <c r="AC101" s="2">
        <f>Model_4!M101</f>
        <v>36.76696162360841</v>
      </c>
      <c r="AD101" s="2">
        <f>Model_1!N101</f>
        <v>1.0006061117302372</v>
      </c>
      <c r="AE101" s="2">
        <f>Model_2!N101</f>
        <v>1.306429982810813</v>
      </c>
      <c r="AF101" s="2">
        <f ca="1">Model_3!N101</f>
        <v>1.3929920140362215</v>
      </c>
      <c r="AG101" s="2">
        <f>Model_4!N101</f>
        <v>0.36766961623608407</v>
      </c>
    </row>
    <row r="102" spans="1:33" x14ac:dyDescent="0.3">
      <c r="A102" s="1">
        <v>100</v>
      </c>
      <c r="B102" s="2">
        <f>Model_1!G102</f>
        <v>1.7091067601591181E-2</v>
      </c>
      <c r="C102" s="2">
        <f>Model_2!G102</f>
        <v>0</v>
      </c>
      <c r="D102" s="2">
        <f ca="1">Model_3!G102</f>
        <v>0</v>
      </c>
      <c r="E102" s="2">
        <f>Model_4!G102</f>
        <v>0</v>
      </c>
      <c r="F102" s="2">
        <f>Model_1!H102</f>
        <v>499.71531106123666</v>
      </c>
      <c r="G102" s="2">
        <f>Model_2!H102</f>
        <v>627.06445657493168</v>
      </c>
      <c r="H102" s="2">
        <f ca="1">Model_3!H102</f>
        <v>574.30336422531548</v>
      </c>
      <c r="I102" s="2">
        <f>Model_4!H102</f>
        <v>530.20795932377234</v>
      </c>
      <c r="J102" s="2">
        <f>Model_1!I102</f>
        <v>0</v>
      </c>
      <c r="K102" s="2">
        <f>Model_2!I102</f>
        <v>5.0825782629972638</v>
      </c>
      <c r="L102" s="2">
        <f ca="1">Model_3!I102</f>
        <v>2.9721345690126193</v>
      </c>
      <c r="M102" s="2">
        <f>Model_4!I102</f>
        <v>13.208318372950895</v>
      </c>
      <c r="N102" s="2">
        <f>Model_1!J102</f>
        <v>1000</v>
      </c>
      <c r="O102" s="2">
        <f>Model_2!J102</f>
        <v>1000</v>
      </c>
      <c r="P102" s="2">
        <f>Model_3!J102</f>
        <v>1000</v>
      </c>
      <c r="Q102" s="2">
        <f>Model_4!J102</f>
        <v>400</v>
      </c>
      <c r="R102" s="2">
        <f>Model_1!K102</f>
        <v>2.0011394045067732</v>
      </c>
      <c r="S102" s="2">
        <f>Model_2!K102</f>
        <v>1.5947323907689928</v>
      </c>
      <c r="T102" s="2">
        <f ca="1">Model_3!K102</f>
        <v>1.7412400175452771</v>
      </c>
      <c r="U102" s="2">
        <f>Model_4!K102</f>
        <v>0.75442096438944506</v>
      </c>
      <c r="V102" s="2">
        <f>Model_1!L102</f>
        <v>49.999999999999993</v>
      </c>
      <c r="W102" s="2">
        <f>Model_2!L102</f>
        <v>50</v>
      </c>
      <c r="X102" s="2">
        <f ca="1">Model_3!L102</f>
        <v>50</v>
      </c>
      <c r="Y102" s="2">
        <f>Model_4!L102</f>
        <v>50</v>
      </c>
      <c r="Z102" s="2">
        <f>Model_1!M102</f>
        <v>100.05697022533865</v>
      </c>
      <c r="AA102" s="2">
        <f>Model_2!M102</f>
        <v>79.736619538449645</v>
      </c>
      <c r="AB102" s="2">
        <f ca="1">Model_3!M102</f>
        <v>87.062000877263856</v>
      </c>
      <c r="AC102" s="2">
        <f>Model_4!M102</f>
        <v>37.721048219472252</v>
      </c>
      <c r="AD102" s="2">
        <f>Model_1!N102</f>
        <v>1.0005697022533864</v>
      </c>
      <c r="AE102" s="2">
        <f>Model_2!N102</f>
        <v>0.79736619538449649</v>
      </c>
      <c r="AF102" s="2">
        <f ca="1">Model_3!N102</f>
        <v>0.87062000877263857</v>
      </c>
      <c r="AG102" s="2">
        <f>Model_4!N102</f>
        <v>0.37721048219472253</v>
      </c>
    </row>
    <row r="103" spans="1:33" x14ac:dyDescent="0.3">
      <c r="A103" s="1">
        <v>101</v>
      </c>
      <c r="B103" s="2">
        <f>Model_1!G103</f>
        <v>1.6064469905598955E-2</v>
      </c>
      <c r="C103" s="2">
        <f>Model_2!G103</f>
        <v>0</v>
      </c>
      <c r="D103" s="2">
        <f ca="1">Model_3!G103</f>
        <v>10.756590837126826</v>
      </c>
      <c r="E103" s="2">
        <f>Model_4!G103</f>
        <v>26.274713091440475</v>
      </c>
      <c r="F103" s="2">
        <f>Model_1!H103</f>
        <v>499.73240212883826</v>
      </c>
      <c r="G103" s="2">
        <f>Model_2!H103</f>
        <v>621.98187831193445</v>
      </c>
      <c r="H103" s="2">
        <f ca="1">Model_3!H103</f>
        <v>571.33122965630287</v>
      </c>
      <c r="I103" s="2">
        <f>Model_4!H103</f>
        <v>516.99964095082146</v>
      </c>
      <c r="J103" s="2">
        <f>Model_1!I103</f>
        <v>0</v>
      </c>
      <c r="K103" s="2">
        <f>Model_2!I103</f>
        <v>4.8792751324773809</v>
      </c>
      <c r="L103" s="2">
        <f ca="1">Model_3!I103</f>
        <v>2.8532491862521154</v>
      </c>
      <c r="M103" s="2">
        <f>Model_4!I103</f>
        <v>0</v>
      </c>
      <c r="N103" s="2">
        <f>Model_1!J103</f>
        <v>1000</v>
      </c>
      <c r="O103" s="2">
        <f>Model_2!J103</f>
        <v>1000</v>
      </c>
      <c r="P103" s="2">
        <f>Model_3!J103</f>
        <v>1000</v>
      </c>
      <c r="Q103" s="2">
        <f>Model_4!J103</f>
        <v>1600</v>
      </c>
      <c r="R103" s="2">
        <f>Model_1!K103</f>
        <v>2.0010709646603733</v>
      </c>
      <c r="S103" s="2">
        <f>Model_2!K103</f>
        <v>1.6077638832726298</v>
      </c>
      <c r="T103" s="2">
        <f ca="1">Model_3!K103</f>
        <v>1.750298159968557</v>
      </c>
      <c r="U103" s="2">
        <f>Model_4!K103</f>
        <v>3</v>
      </c>
      <c r="V103" s="2">
        <f>Model_1!L103</f>
        <v>50</v>
      </c>
      <c r="W103" s="2">
        <f>Model_2!L103</f>
        <v>50</v>
      </c>
      <c r="X103" s="2">
        <f ca="1">Model_3!L103</f>
        <v>50</v>
      </c>
      <c r="Y103" s="2">
        <f>Model_4!L103</f>
        <v>51.579661869055883</v>
      </c>
      <c r="Z103" s="2">
        <f>Model_1!M103</f>
        <v>100.05354823301866</v>
      </c>
      <c r="AA103" s="2">
        <f>Model_2!M103</f>
        <v>80.388194163631482</v>
      </c>
      <c r="AB103" s="2">
        <f ca="1">Model_3!M103</f>
        <v>87.514907998427844</v>
      </c>
      <c r="AC103" s="2">
        <f>Model_4!M103</f>
        <v>154.73898560716765</v>
      </c>
      <c r="AD103" s="2">
        <f>Model_1!N103</f>
        <v>1.0005354823301866</v>
      </c>
      <c r="AE103" s="2">
        <f>Model_2!N103</f>
        <v>0.80388194163631477</v>
      </c>
      <c r="AF103" s="2">
        <f ca="1">Model_3!N103</f>
        <v>0.87514907998427849</v>
      </c>
      <c r="AG103" s="2">
        <f>Model_4!N103</f>
        <v>1.5473898560716766</v>
      </c>
    </row>
    <row r="104" spans="1:33" x14ac:dyDescent="0.3">
      <c r="A104" s="1">
        <v>102</v>
      </c>
      <c r="B104" s="2">
        <f>Model_1!G104</f>
        <v>1.5099600182952866E-2</v>
      </c>
      <c r="C104" s="2">
        <f>Model_2!G104</f>
        <v>14.226281014136411</v>
      </c>
      <c r="D104" s="2">
        <f ca="1">Model_3!G104</f>
        <v>0</v>
      </c>
      <c r="E104" s="2">
        <f>Model_4!G104</f>
        <v>22.682519272781317</v>
      </c>
      <c r="F104" s="2">
        <f>Model_1!H104</f>
        <v>499.74846659874385</v>
      </c>
      <c r="G104" s="2">
        <f>Model_2!H104</f>
        <v>617.10260317945711</v>
      </c>
      <c r="H104" s="2">
        <f ca="1">Model_3!H104</f>
        <v>579.23457130717759</v>
      </c>
      <c r="I104" s="2">
        <f>Model_4!H104</f>
        <v>543.27435404226196</v>
      </c>
      <c r="J104" s="2">
        <f>Model_1!I104</f>
        <v>0</v>
      </c>
      <c r="K104" s="2">
        <f>Model_2!I104</f>
        <v>0</v>
      </c>
      <c r="L104" s="2">
        <f ca="1">Model_3!I104</f>
        <v>0</v>
      </c>
      <c r="M104" s="2">
        <f>Model_4!I104</f>
        <v>0</v>
      </c>
      <c r="N104" s="2">
        <f>Model_1!J104</f>
        <v>1000</v>
      </c>
      <c r="O104" s="2">
        <f>Model_2!J104</f>
        <v>1600</v>
      </c>
      <c r="P104" s="2">
        <f>Model_3!J104</f>
        <v>1600</v>
      </c>
      <c r="Q104" s="2">
        <f>Model_4!J104</f>
        <v>1600</v>
      </c>
      <c r="R104" s="2">
        <f>Model_1!K104</f>
        <v>2.0010066400121969</v>
      </c>
      <c r="S104" s="2">
        <f>Model_2!K104</f>
        <v>2.59276170892235</v>
      </c>
      <c r="T104" s="2">
        <f ca="1">Model_3!K104</f>
        <v>2.762266065005802</v>
      </c>
      <c r="U104" s="2">
        <f>Model_4!K104</f>
        <v>2.9451049696992215</v>
      </c>
      <c r="V104" s="2">
        <f>Model_1!L104</f>
        <v>50</v>
      </c>
      <c r="W104" s="2">
        <f>Model_2!L104</f>
        <v>50</v>
      </c>
      <c r="X104" s="2">
        <f ca="1">Model_3!L104</f>
        <v>50</v>
      </c>
      <c r="Y104" s="2">
        <f>Model_4!L104</f>
        <v>50</v>
      </c>
      <c r="Z104" s="2">
        <f>Model_1!M104</f>
        <v>100.05033200060984</v>
      </c>
      <c r="AA104" s="2">
        <f>Model_2!M104</f>
        <v>129.63808544611751</v>
      </c>
      <c r="AB104" s="2">
        <f ca="1">Model_3!M104</f>
        <v>138.1133032502901</v>
      </c>
      <c r="AC104" s="2">
        <f>Model_4!M104</f>
        <v>147.25524848496107</v>
      </c>
      <c r="AD104" s="2">
        <f>Model_1!N104</f>
        <v>1.0005033200060984</v>
      </c>
      <c r="AE104" s="2">
        <f>Model_2!N104</f>
        <v>1.2963808544611752</v>
      </c>
      <c r="AF104" s="2">
        <f ca="1">Model_3!N104</f>
        <v>1.381133032502901</v>
      </c>
      <c r="AG104" s="2">
        <f>Model_4!N104</f>
        <v>1.4725524848496108</v>
      </c>
    </row>
    <row r="105" spans="1:33" x14ac:dyDescent="0.3">
      <c r="A105" s="1">
        <v>103</v>
      </c>
      <c r="B105" s="2">
        <f>Model_1!G105</f>
        <v>1.4192739351017725E-2</v>
      </c>
      <c r="C105" s="2">
        <f>Model_2!G105</f>
        <v>0</v>
      </c>
      <c r="D105" s="2">
        <f ca="1">Model_3!G105</f>
        <v>0</v>
      </c>
      <c r="E105" s="2">
        <f>Model_4!G105</f>
        <v>19.849692813297484</v>
      </c>
      <c r="F105" s="2">
        <f>Model_1!H105</f>
        <v>499.76356619892681</v>
      </c>
      <c r="G105" s="2">
        <f>Model_2!H105</f>
        <v>631.32888419359347</v>
      </c>
      <c r="H105" s="2">
        <f ca="1">Model_3!H105</f>
        <v>579.23457130717759</v>
      </c>
      <c r="I105" s="2">
        <f>Model_4!H105</f>
        <v>565.95687331504325</v>
      </c>
      <c r="J105" s="2">
        <f>Model_1!I105</f>
        <v>0</v>
      </c>
      <c r="K105" s="2">
        <f>Model_2!I105</f>
        <v>5.2531553677437373</v>
      </c>
      <c r="L105" s="2">
        <f ca="1">Model_3!I105</f>
        <v>3.1693828522871033</v>
      </c>
      <c r="M105" s="2">
        <f>Model_4!I105</f>
        <v>0</v>
      </c>
      <c r="N105" s="2">
        <f>Model_1!J105</f>
        <v>1000</v>
      </c>
      <c r="O105" s="2">
        <f>Model_2!J105</f>
        <v>1000</v>
      </c>
      <c r="P105" s="2">
        <f>Model_3!J105</f>
        <v>1000</v>
      </c>
      <c r="Q105" s="2">
        <f>Model_4!J105</f>
        <v>1600</v>
      </c>
      <c r="R105" s="2">
        <f>Model_1!K105</f>
        <v>2.0009461826234012</v>
      </c>
      <c r="S105" s="2">
        <f>Model_2!K105</f>
        <v>1.583960476126981</v>
      </c>
      <c r="T105" s="2">
        <f ca="1">Model_3!K105</f>
        <v>1.7264162906286262</v>
      </c>
      <c r="U105" s="2">
        <f>Model_4!K105</f>
        <v>2.8270705338873947</v>
      </c>
      <c r="V105" s="2">
        <f>Model_1!L105</f>
        <v>50</v>
      </c>
      <c r="W105" s="2">
        <f>Model_2!L105</f>
        <v>50</v>
      </c>
      <c r="X105" s="2">
        <f ca="1">Model_3!L105</f>
        <v>50</v>
      </c>
      <c r="Y105" s="2">
        <f>Model_4!L105</f>
        <v>50</v>
      </c>
      <c r="Z105" s="2">
        <f>Model_1!M105</f>
        <v>100.04730913117005</v>
      </c>
      <c r="AA105" s="2">
        <f>Model_2!M105</f>
        <v>79.198023806349056</v>
      </c>
      <c r="AB105" s="2">
        <f ca="1">Model_3!M105</f>
        <v>86.32081453143131</v>
      </c>
      <c r="AC105" s="2">
        <f>Model_4!M105</f>
        <v>141.35352669436975</v>
      </c>
      <c r="AD105" s="2">
        <f>Model_1!N105</f>
        <v>1.0004730913117006</v>
      </c>
      <c r="AE105" s="2">
        <f>Model_2!N105</f>
        <v>0.7919802380634906</v>
      </c>
      <c r="AF105" s="2">
        <f ca="1">Model_3!N105</f>
        <v>0.86320814531431311</v>
      </c>
      <c r="AG105" s="2">
        <f>Model_4!N105</f>
        <v>1.4135352669436976</v>
      </c>
    </row>
    <row r="106" spans="1:33" x14ac:dyDescent="0.3">
      <c r="A106" s="1">
        <v>104</v>
      </c>
      <c r="B106" s="2">
        <f>Model_1!G106</f>
        <v>1.3340393269662965E-2</v>
      </c>
      <c r="C106" s="2">
        <f>Model_2!G106</f>
        <v>0</v>
      </c>
      <c r="D106" s="2">
        <f ca="1">Model_3!G106</f>
        <v>11.789760421086646</v>
      </c>
      <c r="E106" s="2">
        <f>Model_4!G106</f>
        <v>17.550647978887937</v>
      </c>
      <c r="F106" s="2">
        <f>Model_1!H106</f>
        <v>499.77775893827783</v>
      </c>
      <c r="G106" s="2">
        <f>Model_2!H106</f>
        <v>626.07572882584975</v>
      </c>
      <c r="H106" s="2">
        <f ca="1">Model_3!H106</f>
        <v>576.06518845489052</v>
      </c>
      <c r="I106" s="2">
        <f>Model_4!H106</f>
        <v>585.80656612834071</v>
      </c>
      <c r="J106" s="2">
        <f>Model_1!I106</f>
        <v>0</v>
      </c>
      <c r="K106" s="2">
        <f>Model_2!I106</f>
        <v>5.0430291530339897</v>
      </c>
      <c r="L106" s="2">
        <f ca="1">Model_3!I106</f>
        <v>3.0426075381956217</v>
      </c>
      <c r="M106" s="2">
        <f>Model_4!I106</f>
        <v>0</v>
      </c>
      <c r="N106" s="2">
        <f>Model_1!J106</f>
        <v>1000</v>
      </c>
      <c r="O106" s="2">
        <f>Model_2!J106</f>
        <v>1000</v>
      </c>
      <c r="P106" s="2">
        <f>Model_3!J106</f>
        <v>1000</v>
      </c>
      <c r="Q106" s="2">
        <f>Model_4!J106</f>
        <v>1600</v>
      </c>
      <c r="R106" s="2">
        <f>Model_1!K106</f>
        <v>2.0008893595513104</v>
      </c>
      <c r="S106" s="2">
        <f>Model_2!K106</f>
        <v>1.5972508659222624</v>
      </c>
      <c r="T106" s="2">
        <f ca="1">Model_3!K106</f>
        <v>1.7359146500106666</v>
      </c>
      <c r="U106" s="2">
        <f>Model_4!K106</f>
        <v>2.7312769991203307</v>
      </c>
      <c r="V106" s="2">
        <f>Model_1!L106</f>
        <v>50.000000000000014</v>
      </c>
      <c r="W106" s="2">
        <f>Model_2!L106</f>
        <v>50</v>
      </c>
      <c r="X106" s="2">
        <f ca="1">Model_3!L106</f>
        <v>50</v>
      </c>
      <c r="Y106" s="2">
        <f>Model_4!L106</f>
        <v>50</v>
      </c>
      <c r="Z106" s="2">
        <f>Model_1!M106</f>
        <v>100.04446797756555</v>
      </c>
      <c r="AA106" s="2">
        <f>Model_2!M106</f>
        <v>79.862543296113117</v>
      </c>
      <c r="AB106" s="2">
        <f ca="1">Model_3!M106</f>
        <v>86.795732500533333</v>
      </c>
      <c r="AC106" s="2">
        <f>Model_4!M106</f>
        <v>136.56384995601653</v>
      </c>
      <c r="AD106" s="2">
        <f>Model_1!N106</f>
        <v>1.0004446797756554</v>
      </c>
      <c r="AE106" s="2">
        <f>Model_2!N106</f>
        <v>0.7986254329611312</v>
      </c>
      <c r="AF106" s="2">
        <f ca="1">Model_3!N106</f>
        <v>0.86795732500533329</v>
      </c>
      <c r="AG106" s="2">
        <f>Model_4!N106</f>
        <v>1.3656384995601654</v>
      </c>
    </row>
    <row r="107" spans="1:33" x14ac:dyDescent="0.3">
      <c r="A107" s="1">
        <v>105</v>
      </c>
      <c r="B107" s="2">
        <f>Model_1!G107</f>
        <v>1.2539279034693429E-2</v>
      </c>
      <c r="C107" s="2">
        <f>Model_2!G107</f>
        <v>13.8324929109701</v>
      </c>
      <c r="D107" s="2">
        <f ca="1">Model_3!G107</f>
        <v>0</v>
      </c>
      <c r="E107" s="2">
        <f>Model_4!G107</f>
        <v>15.643889725955191</v>
      </c>
      <c r="F107" s="2">
        <f>Model_1!H107</f>
        <v>499.79109933154751</v>
      </c>
      <c r="G107" s="2">
        <f>Model_2!H107</f>
        <v>621.03269967281574</v>
      </c>
      <c r="H107" s="2">
        <f ca="1">Model_3!H107</f>
        <v>584.8123413377815</v>
      </c>
      <c r="I107" s="2">
        <f>Model_4!H107</f>
        <v>603.35721410722863</v>
      </c>
      <c r="J107" s="2">
        <f>Model_1!I107</f>
        <v>0</v>
      </c>
      <c r="K107" s="2">
        <f>Model_2!I107</f>
        <v>0</v>
      </c>
      <c r="L107" s="2">
        <f ca="1">Model_3!I107</f>
        <v>0</v>
      </c>
      <c r="M107" s="2">
        <f>Model_4!I107</f>
        <v>0</v>
      </c>
      <c r="N107" s="2">
        <f>Model_1!J107</f>
        <v>1000</v>
      </c>
      <c r="O107" s="2">
        <f>Model_2!J107</f>
        <v>1600</v>
      </c>
      <c r="P107" s="2">
        <f>Model_3!J107</f>
        <v>1600</v>
      </c>
      <c r="Q107" s="2">
        <f>Model_4!J107</f>
        <v>1600</v>
      </c>
      <c r="R107" s="2">
        <f>Model_1!K107</f>
        <v>2.0008359519356462</v>
      </c>
      <c r="S107" s="2">
        <f>Model_2!K107</f>
        <v>2.5763538712904208</v>
      </c>
      <c r="T107" s="2">
        <f ca="1">Model_3!K107</f>
        <v>2.7359203746281011</v>
      </c>
      <c r="U107" s="2">
        <f>Model_4!K107</f>
        <v>2.6518287385814667</v>
      </c>
      <c r="V107" s="2">
        <f>Model_1!L107</f>
        <v>50</v>
      </c>
      <c r="W107" s="2">
        <f>Model_2!L107</f>
        <v>50</v>
      </c>
      <c r="X107" s="2">
        <f ca="1">Model_3!L107</f>
        <v>49.999999999999993</v>
      </c>
      <c r="Y107" s="2">
        <f>Model_4!L107</f>
        <v>50</v>
      </c>
      <c r="Z107" s="2">
        <f>Model_1!M107</f>
        <v>100.04179759678232</v>
      </c>
      <c r="AA107" s="2">
        <f>Model_2!M107</f>
        <v>128.81769356452105</v>
      </c>
      <c r="AB107" s="2">
        <f ca="1">Model_3!M107</f>
        <v>136.79601873140504</v>
      </c>
      <c r="AC107" s="2">
        <f>Model_4!M107</f>
        <v>132.59143692907332</v>
      </c>
      <c r="AD107" s="2">
        <f>Model_1!N107</f>
        <v>1.0004179759678231</v>
      </c>
      <c r="AE107" s="2">
        <f>Model_2!N107</f>
        <v>1.2881769356452104</v>
      </c>
      <c r="AF107" s="2">
        <f ca="1">Model_3!N107</f>
        <v>1.3679601873140503</v>
      </c>
      <c r="AG107" s="2">
        <f>Model_4!N107</f>
        <v>1.3259143692907331</v>
      </c>
    </row>
    <row r="108" spans="1:33" x14ac:dyDescent="0.3">
      <c r="A108" s="1">
        <v>106</v>
      </c>
      <c r="B108" s="2">
        <f>Model_1!G108</f>
        <v>1.1786312118315934E-2</v>
      </c>
      <c r="C108" s="2">
        <f>Model_2!G108</f>
        <v>0</v>
      </c>
      <c r="D108" s="2">
        <f ca="1">Model_3!G108</f>
        <v>0</v>
      </c>
      <c r="E108" s="2">
        <f>Model_4!G108</f>
        <v>14.035430570651318</v>
      </c>
      <c r="F108" s="2">
        <f>Model_1!H108</f>
        <v>499.8036386105822</v>
      </c>
      <c r="G108" s="2">
        <f>Model_2!H108</f>
        <v>634.86519258378587</v>
      </c>
      <c r="H108" s="2">
        <f ca="1">Model_3!H108</f>
        <v>584.8123413377815</v>
      </c>
      <c r="I108" s="2">
        <f>Model_4!H108</f>
        <v>619.00110383318383</v>
      </c>
      <c r="J108" s="2">
        <f>Model_1!I108</f>
        <v>0</v>
      </c>
      <c r="K108" s="2">
        <f>Model_2!I108</f>
        <v>5.3946077033514346</v>
      </c>
      <c r="L108" s="2">
        <f ca="1">Model_3!I108</f>
        <v>3.3924936535112562</v>
      </c>
      <c r="M108" s="2">
        <f>Model_4!I108</f>
        <v>0</v>
      </c>
      <c r="N108" s="2">
        <f>Model_1!J108</f>
        <v>1000</v>
      </c>
      <c r="O108" s="2">
        <f>Model_2!J108</f>
        <v>1000</v>
      </c>
      <c r="P108" s="2">
        <f>Model_3!J108</f>
        <v>1000</v>
      </c>
      <c r="Q108" s="2">
        <f>Model_4!J108</f>
        <v>1600</v>
      </c>
      <c r="R108" s="2">
        <f>Model_1!K108</f>
        <v>2.0007857541412211</v>
      </c>
      <c r="S108" s="2">
        <f>Model_2!K108</f>
        <v>1.5751375436573896</v>
      </c>
      <c r="T108" s="2">
        <f ca="1">Model_3!K108</f>
        <v>1.709950234142563</v>
      </c>
      <c r="U108" s="2">
        <f>Model_4!K108</f>
        <v>2.5848096071104716</v>
      </c>
      <c r="V108" s="2">
        <f>Model_1!L108</f>
        <v>50</v>
      </c>
      <c r="W108" s="2">
        <f>Model_2!L108</f>
        <v>50</v>
      </c>
      <c r="X108" s="2">
        <f ca="1">Model_3!L108</f>
        <v>50.000000000000014</v>
      </c>
      <c r="Y108" s="2">
        <f>Model_4!L108</f>
        <v>49.999999999999993</v>
      </c>
      <c r="Z108" s="2">
        <f>Model_1!M108</f>
        <v>100.03928770706105</v>
      </c>
      <c r="AA108" s="2">
        <f>Model_2!M108</f>
        <v>78.756877182869474</v>
      </c>
      <c r="AB108" s="2">
        <f ca="1">Model_3!M108</f>
        <v>85.497511707128169</v>
      </c>
      <c r="AC108" s="2">
        <f>Model_4!M108</f>
        <v>129.24048035552357</v>
      </c>
      <c r="AD108" s="2">
        <f>Model_1!N108</f>
        <v>1.0003928770706105</v>
      </c>
      <c r="AE108" s="2">
        <f>Model_2!N108</f>
        <v>0.78756877182869478</v>
      </c>
      <c r="AF108" s="2">
        <f ca="1">Model_3!N108</f>
        <v>0.85497511707128171</v>
      </c>
      <c r="AG108" s="2">
        <f>Model_4!N108</f>
        <v>1.2924048035552358</v>
      </c>
    </row>
    <row r="109" spans="1:33" x14ac:dyDescent="0.3">
      <c r="A109" s="1">
        <v>107</v>
      </c>
      <c r="B109" s="2">
        <f>Model_1!G109</f>
        <v>1.1078594302764699E-2</v>
      </c>
      <c r="C109" s="2">
        <f>Model_2!G109</f>
        <v>0</v>
      </c>
      <c r="D109" s="2">
        <f ca="1">Model_3!G109</f>
        <v>11.433990975087029</v>
      </c>
      <c r="E109" s="2">
        <f>Model_4!G109</f>
        <v>12.660006039245996</v>
      </c>
      <c r="F109" s="2">
        <f>Model_1!H109</f>
        <v>499.81542492270052</v>
      </c>
      <c r="G109" s="2">
        <f>Model_2!H109</f>
        <v>629.47058488043444</v>
      </c>
      <c r="H109" s="2">
        <f ca="1">Model_3!H109</f>
        <v>581.41984768427028</v>
      </c>
      <c r="I109" s="2">
        <f>Model_4!H109</f>
        <v>633.03653440383516</v>
      </c>
      <c r="J109" s="2">
        <f>Model_1!I109</f>
        <v>0</v>
      </c>
      <c r="K109" s="2">
        <f>Model_2!I109</f>
        <v>5.1788233952173739</v>
      </c>
      <c r="L109" s="2">
        <f ca="1">Model_3!I109</f>
        <v>3.2567939073708048</v>
      </c>
      <c r="M109" s="2">
        <f>Model_4!I109</f>
        <v>0</v>
      </c>
      <c r="N109" s="2">
        <f>Model_1!J109</f>
        <v>1000</v>
      </c>
      <c r="O109" s="2">
        <f>Model_2!J109</f>
        <v>1000</v>
      </c>
      <c r="P109" s="2">
        <f>Model_3!J109</f>
        <v>1000</v>
      </c>
      <c r="Q109" s="2">
        <f>Model_4!J109</f>
        <v>1600</v>
      </c>
      <c r="R109" s="2">
        <f>Model_1!K109</f>
        <v>2.0007385729535181</v>
      </c>
      <c r="S109" s="2">
        <f>Model_2!K109</f>
        <v>1.5886365844878141</v>
      </c>
      <c r="T109" s="2">
        <f ca="1">Model_3!K109</f>
        <v>1.7199275256647795</v>
      </c>
      <c r="U109" s="2">
        <f>Model_4!K109</f>
        <v>2.5275002516352503</v>
      </c>
      <c r="V109" s="2">
        <f>Model_1!L109</f>
        <v>49.999999999999993</v>
      </c>
      <c r="W109" s="2">
        <f>Model_2!L109</f>
        <v>50</v>
      </c>
      <c r="X109" s="2">
        <f ca="1">Model_3!L109</f>
        <v>50.000000000000014</v>
      </c>
      <c r="Y109" s="2">
        <f>Model_4!L109</f>
        <v>49.999999999999993</v>
      </c>
      <c r="Z109" s="2">
        <f>Model_1!M109</f>
        <v>100.03692864767589</v>
      </c>
      <c r="AA109" s="2">
        <f>Model_2!M109</f>
        <v>79.431829224390711</v>
      </c>
      <c r="AB109" s="2">
        <f ca="1">Model_3!M109</f>
        <v>85.996376283239002</v>
      </c>
      <c r="AC109" s="2">
        <f>Model_4!M109</f>
        <v>126.37501258176249</v>
      </c>
      <c r="AD109" s="2">
        <f>Model_1!N109</f>
        <v>1.0003692864767588</v>
      </c>
      <c r="AE109" s="2">
        <f>Model_2!N109</f>
        <v>0.79431829224390715</v>
      </c>
      <c r="AF109" s="2">
        <f ca="1">Model_3!N109</f>
        <v>0.85996376283239007</v>
      </c>
      <c r="AG109" s="2">
        <f>Model_4!N109</f>
        <v>1.2637501258176249</v>
      </c>
    </row>
    <row r="110" spans="1:33" x14ac:dyDescent="0.3">
      <c r="A110" s="1">
        <v>108</v>
      </c>
      <c r="B110" s="2">
        <f>Model_1!G110</f>
        <v>1.0413402357172252E-2</v>
      </c>
      <c r="C110" s="2">
        <f>Model_2!G110</f>
        <v>13.509701663601557</v>
      </c>
      <c r="D110" s="2">
        <f ca="1">Model_3!G110</f>
        <v>0</v>
      </c>
      <c r="E110" s="2">
        <f>Model_4!G110</f>
        <v>11.470660898461166</v>
      </c>
      <c r="F110" s="2">
        <f>Model_1!H110</f>
        <v>499.82650351700329</v>
      </c>
      <c r="G110" s="2">
        <f>Model_2!H110</f>
        <v>624.29176148521708</v>
      </c>
      <c r="H110" s="2">
        <f ca="1">Model_3!H110</f>
        <v>589.59704475198646</v>
      </c>
      <c r="I110" s="2">
        <f>Model_4!H110</f>
        <v>645.69654044308118</v>
      </c>
      <c r="J110" s="2">
        <f>Model_1!I110</f>
        <v>0</v>
      </c>
      <c r="K110" s="2">
        <f>Model_2!I110</f>
        <v>0</v>
      </c>
      <c r="L110" s="2">
        <f ca="1">Model_3!I110</f>
        <v>0</v>
      </c>
      <c r="M110" s="2">
        <f>Model_4!I110</f>
        <v>0</v>
      </c>
      <c r="N110" s="2">
        <f>Model_1!J110</f>
        <v>1000</v>
      </c>
      <c r="O110" s="2">
        <f>Model_2!J110</f>
        <v>1600</v>
      </c>
      <c r="P110" s="2">
        <f>Model_3!J110</f>
        <v>1600</v>
      </c>
      <c r="Q110" s="2">
        <f>Model_4!J110</f>
        <v>1600</v>
      </c>
      <c r="R110" s="2">
        <f>Model_1!K110</f>
        <v>2.0006942268238115</v>
      </c>
      <c r="S110" s="2">
        <f>Model_2!K110</f>
        <v>2.5629042359833978</v>
      </c>
      <c r="T110" s="2">
        <f ca="1">Model_3!K110</f>
        <v>2.7137178081905731</v>
      </c>
      <c r="U110" s="2">
        <f>Model_4!K110</f>
        <v>2.477944204102549</v>
      </c>
      <c r="V110" s="2">
        <f>Model_1!L110</f>
        <v>50</v>
      </c>
      <c r="W110" s="2">
        <f>Model_2!L110</f>
        <v>50.000000000000014</v>
      </c>
      <c r="X110" s="2">
        <f ca="1">Model_3!L110</f>
        <v>50</v>
      </c>
      <c r="Y110" s="2">
        <f>Model_4!L110</f>
        <v>49.999999999999993</v>
      </c>
      <c r="Z110" s="2">
        <f>Model_1!M110</f>
        <v>100.03471134119057</v>
      </c>
      <c r="AA110" s="2">
        <f>Model_2!M110</f>
        <v>128.14521179916991</v>
      </c>
      <c r="AB110" s="2">
        <f ca="1">Model_3!M110</f>
        <v>135.68589040952867</v>
      </c>
      <c r="AC110" s="2">
        <f>Model_4!M110</f>
        <v>123.89721020512744</v>
      </c>
      <c r="AD110" s="2">
        <f>Model_1!N110</f>
        <v>1.0003471134119057</v>
      </c>
      <c r="AE110" s="2">
        <f>Model_2!N110</f>
        <v>1.2814521179916991</v>
      </c>
      <c r="AF110" s="2">
        <f ca="1">Model_3!N110</f>
        <v>1.3568589040952868</v>
      </c>
      <c r="AG110" s="2">
        <f>Model_4!N110</f>
        <v>1.2389721020512743</v>
      </c>
    </row>
    <row r="111" spans="1:33" x14ac:dyDescent="0.3">
      <c r="A111" s="1">
        <v>109</v>
      </c>
      <c r="B111" s="2">
        <f>Model_1!G111</f>
        <v>9.7881774106234332E-3</v>
      </c>
      <c r="C111" s="2">
        <f>Model_2!G111</f>
        <v>0</v>
      </c>
      <c r="D111" s="2">
        <f ca="1">Model_3!G111</f>
        <v>0</v>
      </c>
      <c r="E111" s="2">
        <f>Model_4!G111</f>
        <v>10.432617941994323</v>
      </c>
      <c r="F111" s="2">
        <f>Model_1!H111</f>
        <v>499.83691691936048</v>
      </c>
      <c r="G111" s="2">
        <f>Model_2!H111</f>
        <v>637.80146314881858</v>
      </c>
      <c r="H111" s="2">
        <f ca="1">Model_3!H111</f>
        <v>589.59704475198646</v>
      </c>
      <c r="I111" s="2">
        <f>Model_4!H111</f>
        <v>657.1672013415423</v>
      </c>
      <c r="J111" s="2">
        <f>Model_1!I111</f>
        <v>0</v>
      </c>
      <c r="K111" s="2">
        <f>Model_2!I111</f>
        <v>5.5120585259527441</v>
      </c>
      <c r="L111" s="2">
        <f ca="1">Model_3!I111</f>
        <v>3.5838817900794595</v>
      </c>
      <c r="M111" s="2">
        <f>Model_4!I111</f>
        <v>0</v>
      </c>
      <c r="N111" s="2">
        <f>Model_1!J111</f>
        <v>1000</v>
      </c>
      <c r="O111" s="2">
        <f>Model_2!J111</f>
        <v>1000</v>
      </c>
      <c r="P111" s="2">
        <f>Model_3!J111</f>
        <v>1000</v>
      </c>
      <c r="Q111" s="2">
        <f>Model_4!J111</f>
        <v>1600</v>
      </c>
      <c r="R111" s="2">
        <f>Model_1!K111</f>
        <v>2.0006525451607082</v>
      </c>
      <c r="S111" s="2">
        <f>Model_2!K111</f>
        <v>1.5678860237526131</v>
      </c>
      <c r="T111" s="2">
        <f ca="1">Model_3!K111</f>
        <v>1.6960736301191082</v>
      </c>
      <c r="U111" s="2">
        <f>Model_4!K111</f>
        <v>2.4346924142497635</v>
      </c>
      <c r="V111" s="2">
        <f>Model_1!L111</f>
        <v>50</v>
      </c>
      <c r="W111" s="2">
        <f>Model_2!L111</f>
        <v>50</v>
      </c>
      <c r="X111" s="2">
        <f ca="1">Model_3!L111</f>
        <v>50</v>
      </c>
      <c r="Y111" s="2">
        <f>Model_4!L111</f>
        <v>50</v>
      </c>
      <c r="Z111" s="2">
        <f>Model_1!M111</f>
        <v>100.0326272580354</v>
      </c>
      <c r="AA111" s="2">
        <f>Model_2!M111</f>
        <v>78.39430118763066</v>
      </c>
      <c r="AB111" s="2">
        <f ca="1">Model_3!M111</f>
        <v>84.80368150595541</v>
      </c>
      <c r="AC111" s="2">
        <f>Model_4!M111</f>
        <v>121.73462071248818</v>
      </c>
      <c r="AD111" s="2">
        <f>Model_1!N111</f>
        <v>1.0003262725803541</v>
      </c>
      <c r="AE111" s="2">
        <f>Model_2!N111</f>
        <v>0.78394301187630655</v>
      </c>
      <c r="AF111" s="2">
        <f ca="1">Model_3!N111</f>
        <v>0.84803681505955408</v>
      </c>
      <c r="AG111" s="2">
        <f>Model_4!N111</f>
        <v>1.2173462071248817</v>
      </c>
    </row>
    <row r="112" spans="1:33" x14ac:dyDescent="0.3">
      <c r="A112" s="1">
        <v>110</v>
      </c>
      <c r="B112" s="2">
        <f>Model_1!G112</f>
        <v>9.2005149778406903E-3</v>
      </c>
      <c r="C112" s="2">
        <f>Model_2!G112</f>
        <v>0</v>
      </c>
      <c r="D112" s="2">
        <f ca="1">Model_3!G112</f>
        <v>11.03880561942151</v>
      </c>
      <c r="E112" s="2">
        <f>Model_4!G112</f>
        <v>9.5194883084459292</v>
      </c>
      <c r="F112" s="2">
        <f>Model_1!H112</f>
        <v>499.84670509677107</v>
      </c>
      <c r="G112" s="2">
        <f>Model_2!H112</f>
        <v>632.28940462286585</v>
      </c>
      <c r="H112" s="2">
        <f ca="1">Model_3!H112</f>
        <v>586.01316296190703</v>
      </c>
      <c r="I112" s="2">
        <f>Model_4!H112</f>
        <v>667.59981928353659</v>
      </c>
      <c r="J112" s="2">
        <f>Model_1!I112</f>
        <v>0</v>
      </c>
      <c r="K112" s="2">
        <f>Model_2!I112</f>
        <v>5.291576184914633</v>
      </c>
      <c r="L112" s="2">
        <f ca="1">Model_3!I112</f>
        <v>3.4405265184762812</v>
      </c>
      <c r="M112" s="2">
        <f>Model_4!I112</f>
        <v>0</v>
      </c>
      <c r="N112" s="2">
        <f>Model_1!J112</f>
        <v>1000</v>
      </c>
      <c r="O112" s="2">
        <f>Model_2!J112</f>
        <v>1000</v>
      </c>
      <c r="P112" s="2">
        <f>Model_3!J112</f>
        <v>1000</v>
      </c>
      <c r="Q112" s="2">
        <f>Model_4!J112</f>
        <v>1600</v>
      </c>
      <c r="R112" s="2">
        <f>Model_1!K112</f>
        <v>2.0006133676651894</v>
      </c>
      <c r="S112" s="2">
        <f>Model_2!K112</f>
        <v>1.5815542577318027</v>
      </c>
      <c r="T112" s="2">
        <f ca="1">Model_3!K112</f>
        <v>1.7064463107716978</v>
      </c>
      <c r="U112" s="2">
        <f>Model_4!K112</f>
        <v>2.396645346185247</v>
      </c>
      <c r="V112" s="2">
        <f>Model_1!L112</f>
        <v>50</v>
      </c>
      <c r="W112" s="2">
        <f>Model_2!L112</f>
        <v>50</v>
      </c>
      <c r="X112" s="2">
        <f ca="1">Model_3!L112</f>
        <v>50</v>
      </c>
      <c r="Y112" s="2">
        <f>Model_4!L112</f>
        <v>50</v>
      </c>
      <c r="Z112" s="2">
        <f>Model_1!M112</f>
        <v>100.03066838325947</v>
      </c>
      <c r="AA112" s="2">
        <f>Model_2!M112</f>
        <v>79.077712886590135</v>
      </c>
      <c r="AB112" s="2">
        <f ca="1">Model_3!M112</f>
        <v>85.322315538584888</v>
      </c>
      <c r="AC112" s="2">
        <f>Model_4!M112</f>
        <v>119.83226730926235</v>
      </c>
      <c r="AD112" s="2">
        <f>Model_1!N112</f>
        <v>1.0003066838325947</v>
      </c>
      <c r="AE112" s="2">
        <f>Model_2!N112</f>
        <v>0.79077712886590135</v>
      </c>
      <c r="AF112" s="2">
        <f ca="1">Model_3!N112</f>
        <v>0.85322315538584892</v>
      </c>
      <c r="AG112" s="2">
        <f>Model_4!N112</f>
        <v>1.1983226730926235</v>
      </c>
    </row>
    <row r="113" spans="1:33" x14ac:dyDescent="0.3">
      <c r="A113" s="1">
        <v>111</v>
      </c>
      <c r="B113" s="2">
        <f>Model_1!G113</f>
        <v>8.6481555964401657E-3</v>
      </c>
      <c r="C113" s="2">
        <f>Model_2!G113</f>
        <v>13.244231253027593</v>
      </c>
      <c r="D113" s="2">
        <f ca="1">Model_3!G113</f>
        <v>0</v>
      </c>
      <c r="E113" s="2">
        <f>Model_4!G113</f>
        <v>0</v>
      </c>
      <c r="F113" s="2">
        <f>Model_1!H113</f>
        <v>499.85590561174894</v>
      </c>
      <c r="G113" s="2">
        <f>Model_2!H113</f>
        <v>626.99782843795117</v>
      </c>
      <c r="H113" s="2">
        <f ca="1">Model_3!H113</f>
        <v>593.61144206285223</v>
      </c>
      <c r="I113" s="2">
        <f>Model_4!H113</f>
        <v>677.11930759198253</v>
      </c>
      <c r="J113" s="2">
        <f>Model_1!I113</f>
        <v>0</v>
      </c>
      <c r="K113" s="2">
        <f>Model_2!I113</f>
        <v>0</v>
      </c>
      <c r="L113" s="2">
        <f ca="1">Model_3!I113</f>
        <v>0</v>
      </c>
      <c r="M113" s="2">
        <f>Model_4!I113</f>
        <v>19.084772303679301</v>
      </c>
      <c r="N113" s="2">
        <f>Model_1!J113</f>
        <v>1000</v>
      </c>
      <c r="O113" s="2">
        <f>Model_2!J113</f>
        <v>1600</v>
      </c>
      <c r="P113" s="2">
        <f>Model_3!J113</f>
        <v>1600</v>
      </c>
      <c r="Q113" s="2">
        <f>Model_4!J113</f>
        <v>400</v>
      </c>
      <c r="R113" s="2">
        <f>Model_1!K113</f>
        <v>2.0005765437064298</v>
      </c>
      <c r="S113" s="2">
        <f>Model_2!K113</f>
        <v>2.5518429688761497</v>
      </c>
      <c r="T113" s="2">
        <f ca="1">Model_3!K113</f>
        <v>2.6953658346608997</v>
      </c>
      <c r="U113" s="2">
        <f>Model_4!K113</f>
        <v>0.59073784415113939</v>
      </c>
      <c r="V113" s="2">
        <f>Model_1!L113</f>
        <v>49.999999999999993</v>
      </c>
      <c r="W113" s="2">
        <f>Model_2!L113</f>
        <v>50</v>
      </c>
      <c r="X113" s="2">
        <f ca="1">Model_3!L113</f>
        <v>50</v>
      </c>
      <c r="Y113" s="2">
        <f>Model_4!L113</f>
        <v>50</v>
      </c>
      <c r="Z113" s="2">
        <f>Model_1!M113</f>
        <v>100.02882718532148</v>
      </c>
      <c r="AA113" s="2">
        <f>Model_2!M113</f>
        <v>127.59214844380749</v>
      </c>
      <c r="AB113" s="2">
        <f ca="1">Model_3!M113</f>
        <v>134.76829173304498</v>
      </c>
      <c r="AC113" s="2">
        <f>Model_4!M113</f>
        <v>29.536892207556971</v>
      </c>
      <c r="AD113" s="2">
        <f>Model_1!N113</f>
        <v>1.0002882718532147</v>
      </c>
      <c r="AE113" s="2">
        <f>Model_2!N113</f>
        <v>1.2759214844380748</v>
      </c>
      <c r="AF113" s="2">
        <f ca="1">Model_3!N113</f>
        <v>1.3476829173304496</v>
      </c>
      <c r="AG113" s="2">
        <f>Model_4!N113</f>
        <v>0.2953689220755697</v>
      </c>
    </row>
    <row r="114" spans="1:33" x14ac:dyDescent="0.3">
      <c r="A114" s="1">
        <v>112</v>
      </c>
      <c r="B114" s="2">
        <f>Model_1!G114</f>
        <v>8.1289760376357378E-3</v>
      </c>
      <c r="C114" s="2">
        <f>Model_2!G114</f>
        <v>0</v>
      </c>
      <c r="D114" s="2">
        <f ca="1">Model_3!G114</f>
        <v>0</v>
      </c>
      <c r="E114" s="2">
        <f>Model_4!G114</f>
        <v>0</v>
      </c>
      <c r="F114" s="2">
        <f>Model_1!H114</f>
        <v>499.8645537673454</v>
      </c>
      <c r="G114" s="2">
        <f>Model_2!H114</f>
        <v>640.24205969097875</v>
      </c>
      <c r="H114" s="2">
        <f ca="1">Model_3!H114</f>
        <v>593.61144206285223</v>
      </c>
      <c r="I114" s="2">
        <f>Model_4!H114</f>
        <v>658.03453528830323</v>
      </c>
      <c r="J114" s="2">
        <f>Model_1!I114</f>
        <v>0</v>
      </c>
      <c r="K114" s="2">
        <f>Model_2!I114</f>
        <v>17.60968238763915</v>
      </c>
      <c r="L114" s="2">
        <f ca="1">Model_3!I114</f>
        <v>15.74445768251409</v>
      </c>
      <c r="M114" s="2">
        <f>Model_4!I114</f>
        <v>18.32138141153213</v>
      </c>
      <c r="N114" s="2">
        <f>Model_1!J114</f>
        <v>1000</v>
      </c>
      <c r="O114" s="2">
        <f>Model_2!J114</f>
        <v>400</v>
      </c>
      <c r="P114" s="2">
        <f>Model_3!J114</f>
        <v>400</v>
      </c>
      <c r="Q114" s="2">
        <f>Model_4!J114</f>
        <v>400</v>
      </c>
      <c r="R114" s="2">
        <f>Model_1!K114</f>
        <v>2.0005419317358424</v>
      </c>
      <c r="S114" s="2">
        <f>Model_2!K114</f>
        <v>0.62476370295488748</v>
      </c>
      <c r="T114" s="2">
        <f ca="1">Model_3!K114</f>
        <v>0.67384145866522493</v>
      </c>
      <c r="U114" s="2">
        <f>Model_4!K114</f>
        <v>0.60787083131548536</v>
      </c>
      <c r="V114" s="2">
        <f>Model_1!L114</f>
        <v>50</v>
      </c>
      <c r="W114" s="2">
        <f>Model_2!L114</f>
        <v>50</v>
      </c>
      <c r="X114" s="2">
        <f ca="1">Model_3!L114</f>
        <v>50</v>
      </c>
      <c r="Y114" s="2">
        <f>Model_4!L114</f>
        <v>50</v>
      </c>
      <c r="Z114" s="2">
        <f>Model_1!M114</f>
        <v>100.02709658679211</v>
      </c>
      <c r="AA114" s="2">
        <f>Model_2!M114</f>
        <v>31.238185147744375</v>
      </c>
      <c r="AB114" s="2">
        <f ca="1">Model_3!M114</f>
        <v>33.692072933261244</v>
      </c>
      <c r="AC114" s="2">
        <f>Model_4!M114</f>
        <v>30.393541565774267</v>
      </c>
      <c r="AD114" s="2">
        <f>Model_1!N114</f>
        <v>1.0002709658679212</v>
      </c>
      <c r="AE114" s="2">
        <f>Model_2!N114</f>
        <v>0.31238185147744374</v>
      </c>
      <c r="AF114" s="2">
        <f ca="1">Model_3!N114</f>
        <v>0.33692072933261241</v>
      </c>
      <c r="AG114" s="2">
        <f>Model_4!N114</f>
        <v>0.30393541565774268</v>
      </c>
    </row>
    <row r="115" spans="1:33" x14ac:dyDescent="0.3">
      <c r="A115" s="1">
        <v>113</v>
      </c>
      <c r="B115" s="2">
        <f>Model_1!G115</f>
        <v>7.6409810545130519E-3</v>
      </c>
      <c r="C115" s="2">
        <f>Model_2!G115</f>
        <v>0</v>
      </c>
      <c r="D115" s="2">
        <f ca="1">Model_3!G115</f>
        <v>10.705767122858603</v>
      </c>
      <c r="E115" s="2">
        <f>Model_4!G115</f>
        <v>0</v>
      </c>
      <c r="F115" s="2">
        <f>Model_1!H115</f>
        <v>499.87268274338305</v>
      </c>
      <c r="G115" s="2">
        <f>Model_2!H115</f>
        <v>622.63237730333958</v>
      </c>
      <c r="H115" s="2">
        <f ca="1">Model_3!H115</f>
        <v>577.86698438033818</v>
      </c>
      <c r="I115" s="2">
        <f>Model_4!H115</f>
        <v>639.71315387677112</v>
      </c>
      <c r="J115" s="2">
        <f>Model_1!I115</f>
        <v>0</v>
      </c>
      <c r="K115" s="2">
        <f>Model_2!I115</f>
        <v>4.9052950921335849</v>
      </c>
      <c r="L115" s="2">
        <f ca="1">Model_3!I115</f>
        <v>3.1146793752135271</v>
      </c>
      <c r="M115" s="2">
        <f>Model_4!I115</f>
        <v>17.588526155070845</v>
      </c>
      <c r="N115" s="2">
        <f>Model_1!J115</f>
        <v>1000</v>
      </c>
      <c r="O115" s="2">
        <f>Model_2!J115</f>
        <v>1000</v>
      </c>
      <c r="P115" s="2">
        <f>Model_3!J115</f>
        <v>1000</v>
      </c>
      <c r="Q115" s="2">
        <f>Model_4!J115</f>
        <v>400</v>
      </c>
      <c r="R115" s="2">
        <f>Model_1!K115</f>
        <v>2.0005093987369671</v>
      </c>
      <c r="S115" s="2">
        <f>Model_2!K115</f>
        <v>1.6060841621039106</v>
      </c>
      <c r="T115" s="2">
        <f ca="1">Model_3!K115</f>
        <v>1.7305020481007858</v>
      </c>
      <c r="U115" s="2">
        <f>Model_4!K115</f>
        <v>0.62528024877389432</v>
      </c>
      <c r="V115" s="2">
        <f>Model_1!L115</f>
        <v>50.000000000000014</v>
      </c>
      <c r="W115" s="2">
        <f>Model_2!L115</f>
        <v>49.999999999999993</v>
      </c>
      <c r="X115" s="2">
        <f ca="1">Model_3!L115</f>
        <v>50</v>
      </c>
      <c r="Y115" s="2">
        <f>Model_4!L115</f>
        <v>50</v>
      </c>
      <c r="Z115" s="2">
        <f>Model_1!M115</f>
        <v>100.02546993684838</v>
      </c>
      <c r="AA115" s="2">
        <f>Model_2!M115</f>
        <v>80.304208105195514</v>
      </c>
      <c r="AB115" s="2">
        <f ca="1">Model_3!M115</f>
        <v>86.525102405039291</v>
      </c>
      <c r="AC115" s="2">
        <f>Model_4!M115</f>
        <v>31.264012438694717</v>
      </c>
      <c r="AD115" s="2">
        <f>Model_1!N115</f>
        <v>1.0002546993684838</v>
      </c>
      <c r="AE115" s="2">
        <f>Model_2!N115</f>
        <v>0.80304208105195518</v>
      </c>
      <c r="AF115" s="2">
        <f ca="1">Model_3!N115</f>
        <v>0.86525102405039289</v>
      </c>
      <c r="AG115" s="2">
        <f>Model_4!N115</f>
        <v>0.31264012438694716</v>
      </c>
    </row>
    <row r="116" spans="1:33" x14ac:dyDescent="0.3">
      <c r="A116" s="1">
        <v>114</v>
      </c>
      <c r="B116" s="2">
        <f>Model_1!G116</f>
        <v>7.182295634533542E-3</v>
      </c>
      <c r="C116" s="2">
        <f>Model_2!G116</f>
        <v>14.163374580476493</v>
      </c>
      <c r="D116" s="2">
        <f ca="1">Model_3!G116</f>
        <v>0</v>
      </c>
      <c r="E116" s="2">
        <f>Model_4!G116</f>
        <v>0</v>
      </c>
      <c r="F116" s="2">
        <f>Model_1!H116</f>
        <v>499.88032372443757</v>
      </c>
      <c r="G116" s="2">
        <f>Model_2!H116</f>
        <v>617.72708221120604</v>
      </c>
      <c r="H116" s="2">
        <f ca="1">Model_3!H116</f>
        <v>585.45807212798331</v>
      </c>
      <c r="I116" s="2">
        <f>Model_4!H116</f>
        <v>622.12462772170022</v>
      </c>
      <c r="J116" s="2">
        <f>Model_1!I116</f>
        <v>0</v>
      </c>
      <c r="K116" s="2">
        <f>Model_2!I116</f>
        <v>0</v>
      </c>
      <c r="L116" s="2">
        <f ca="1">Model_3!I116</f>
        <v>0</v>
      </c>
      <c r="M116" s="2">
        <f>Model_4!I116</f>
        <v>16.884985108868008</v>
      </c>
      <c r="N116" s="2">
        <f>Model_1!J116</f>
        <v>1000</v>
      </c>
      <c r="O116" s="2">
        <f>Model_2!J116</f>
        <v>1600</v>
      </c>
      <c r="P116" s="2">
        <f>Model_3!J116</f>
        <v>1600</v>
      </c>
      <c r="Q116" s="2">
        <f>Model_4!J116</f>
        <v>400</v>
      </c>
      <c r="R116" s="2">
        <f>Model_1!K116</f>
        <v>2.0004788197089685</v>
      </c>
      <c r="S116" s="2">
        <f>Model_2!K116</f>
        <v>2.5901406075198539</v>
      </c>
      <c r="T116" s="2">
        <f ca="1">Model_3!K116</f>
        <v>2.7329027921409104</v>
      </c>
      <c r="U116" s="2">
        <f>Model_4!K116</f>
        <v>0.64295798972763873</v>
      </c>
      <c r="V116" s="2">
        <f>Model_1!L116</f>
        <v>50.000000000000014</v>
      </c>
      <c r="W116" s="2">
        <f>Model_2!L116</f>
        <v>50</v>
      </c>
      <c r="X116" s="2">
        <f ca="1">Model_3!L116</f>
        <v>50</v>
      </c>
      <c r="Y116" s="2">
        <f>Model_4!L116</f>
        <v>50</v>
      </c>
      <c r="Z116" s="2">
        <f>Model_1!M116</f>
        <v>100.02394098544845</v>
      </c>
      <c r="AA116" s="2">
        <f>Model_2!M116</f>
        <v>129.50703037599268</v>
      </c>
      <c r="AB116" s="2">
        <f ca="1">Model_3!M116</f>
        <v>136.64513960704551</v>
      </c>
      <c r="AC116" s="2">
        <f>Model_4!M116</f>
        <v>32.147899486381938</v>
      </c>
      <c r="AD116" s="2">
        <f>Model_1!N116</f>
        <v>1.0002394098544845</v>
      </c>
      <c r="AE116" s="2">
        <f>Model_2!N116</f>
        <v>1.2950703037599269</v>
      </c>
      <c r="AF116" s="2">
        <f ca="1">Model_3!N116</f>
        <v>1.3664513960704552</v>
      </c>
      <c r="AG116" s="2">
        <f>Model_4!N116</f>
        <v>0.32147899486381937</v>
      </c>
    </row>
    <row r="117" spans="1:33" x14ac:dyDescent="0.3">
      <c r="A117" s="1">
        <v>115</v>
      </c>
      <c r="B117" s="2">
        <f>Model_1!G117</f>
        <v>6.7511577248868804E-3</v>
      </c>
      <c r="C117" s="2">
        <f>Model_2!G117</f>
        <v>0</v>
      </c>
      <c r="D117" s="2">
        <f ca="1">Model_3!G117</f>
        <v>0</v>
      </c>
      <c r="E117" s="2">
        <f>Model_4!G117</f>
        <v>0</v>
      </c>
      <c r="F117" s="2">
        <f>Model_1!H117</f>
        <v>499.88750602007212</v>
      </c>
      <c r="G117" s="2">
        <f>Model_2!H117</f>
        <v>631.89045679168248</v>
      </c>
      <c r="H117" s="2">
        <f ca="1">Model_3!H117</f>
        <v>585.45807212798331</v>
      </c>
      <c r="I117" s="2">
        <f>Model_4!H117</f>
        <v>605.2396426128322</v>
      </c>
      <c r="J117" s="2">
        <f>Model_1!I117</f>
        <v>0</v>
      </c>
      <c r="K117" s="2">
        <f>Model_2!I117</f>
        <v>5.2756182716672955</v>
      </c>
      <c r="L117" s="2">
        <f ca="1">Model_3!I117</f>
        <v>3.4183228851193341</v>
      </c>
      <c r="M117" s="2">
        <f>Model_4!I117</f>
        <v>16.209585704513287</v>
      </c>
      <c r="N117" s="2">
        <f>Model_1!J117</f>
        <v>1000</v>
      </c>
      <c r="O117" s="2">
        <f>Model_2!J117</f>
        <v>1000</v>
      </c>
      <c r="P117" s="2">
        <f>Model_3!J117</f>
        <v>1000</v>
      </c>
      <c r="Q117" s="2">
        <f>Model_4!J117</f>
        <v>400</v>
      </c>
      <c r="R117" s="2">
        <f>Model_1!K117</f>
        <v>2.0004500771816582</v>
      </c>
      <c r="S117" s="2">
        <f>Model_2!K117</f>
        <v>1.5825527815016101</v>
      </c>
      <c r="T117" s="2">
        <f ca="1">Model_3!K117</f>
        <v>1.708064245088069</v>
      </c>
      <c r="U117" s="2">
        <f>Model_4!K117</f>
        <v>0.66089524188004545</v>
      </c>
      <c r="V117" s="2">
        <f>Model_1!L117</f>
        <v>50.000000000000014</v>
      </c>
      <c r="W117" s="2">
        <f>Model_2!L117</f>
        <v>50</v>
      </c>
      <c r="X117" s="2">
        <f ca="1">Model_3!L117</f>
        <v>50</v>
      </c>
      <c r="Y117" s="2">
        <f>Model_4!L117</f>
        <v>50</v>
      </c>
      <c r="Z117" s="2">
        <f>Model_1!M117</f>
        <v>100.02250385908295</v>
      </c>
      <c r="AA117" s="2">
        <f>Model_2!M117</f>
        <v>79.127639075080509</v>
      </c>
      <c r="AB117" s="2">
        <f ca="1">Model_3!M117</f>
        <v>85.403212254403442</v>
      </c>
      <c r="AC117" s="2">
        <f>Model_4!M117</f>
        <v>33.044762094002273</v>
      </c>
      <c r="AD117" s="2">
        <f>Model_1!N117</f>
        <v>1.0002250385908296</v>
      </c>
      <c r="AE117" s="2">
        <f>Model_2!N117</f>
        <v>0.79127639075080514</v>
      </c>
      <c r="AF117" s="2">
        <f ca="1">Model_3!N117</f>
        <v>0.85403212254403438</v>
      </c>
      <c r="AG117" s="2">
        <f>Model_4!N117</f>
        <v>0.33044762094002272</v>
      </c>
    </row>
    <row r="118" spans="1:33" x14ac:dyDescent="0.3">
      <c r="A118" s="1">
        <v>116</v>
      </c>
      <c r="B118" s="2">
        <f>Model_1!G118</f>
        <v>6.345911401341997E-3</v>
      </c>
      <c r="C118" s="2">
        <f>Model_2!G118</f>
        <v>0</v>
      </c>
      <c r="D118" s="2">
        <f ca="1">Model_3!G118</f>
        <v>10.430487519913489</v>
      </c>
      <c r="E118" s="2">
        <f>Model_4!G118</f>
        <v>0</v>
      </c>
      <c r="F118" s="2">
        <f>Model_1!H118</f>
        <v>499.89425717779699</v>
      </c>
      <c r="G118" s="2">
        <f>Model_2!H118</f>
        <v>626.61483852001516</v>
      </c>
      <c r="H118" s="2">
        <f ca="1">Model_3!H118</f>
        <v>582.03974924286399</v>
      </c>
      <c r="I118" s="2">
        <f>Model_4!H118</f>
        <v>589.0300569083189</v>
      </c>
      <c r="J118" s="2">
        <f>Model_1!I118</f>
        <v>0</v>
      </c>
      <c r="K118" s="2">
        <f>Model_2!I118</f>
        <v>5.0645935408006064</v>
      </c>
      <c r="L118" s="2">
        <f ca="1">Model_3!I118</f>
        <v>3.281589969714561</v>
      </c>
      <c r="M118" s="2">
        <f>Model_4!I118</f>
        <v>15.561202276332756</v>
      </c>
      <c r="N118" s="2">
        <f>Model_1!J118</f>
        <v>1000</v>
      </c>
      <c r="O118" s="2">
        <f>Model_2!J118</f>
        <v>1000</v>
      </c>
      <c r="P118" s="2">
        <f>Model_3!J118</f>
        <v>1000</v>
      </c>
      <c r="Q118" s="2">
        <f>Model_4!J118</f>
        <v>400</v>
      </c>
      <c r="R118" s="2">
        <f>Model_1!K118</f>
        <v>2.0004230607600895</v>
      </c>
      <c r="S118" s="2">
        <f>Model_2!K118</f>
        <v>1.5958766670158551</v>
      </c>
      <c r="T118" s="2">
        <f ca="1">Model_3!K118</f>
        <v>1.7180957164881474</v>
      </c>
      <c r="U118" s="2">
        <f>Model_4!K118</f>
        <v>0.67908249385355057</v>
      </c>
      <c r="V118" s="2">
        <f>Model_1!L118</f>
        <v>50</v>
      </c>
      <c r="W118" s="2">
        <f>Model_2!L118</f>
        <v>50</v>
      </c>
      <c r="X118" s="2">
        <f ca="1">Model_3!L118</f>
        <v>49.999999999999993</v>
      </c>
      <c r="Y118" s="2">
        <f>Model_4!L118</f>
        <v>50</v>
      </c>
      <c r="Z118" s="2">
        <f>Model_1!M118</f>
        <v>100.02115303800447</v>
      </c>
      <c r="AA118" s="2">
        <f>Model_2!M118</f>
        <v>79.793833350792752</v>
      </c>
      <c r="AB118" s="2">
        <f ca="1">Model_3!M118</f>
        <v>85.904785824407355</v>
      </c>
      <c r="AC118" s="2">
        <f>Model_4!M118</f>
        <v>33.954124692677532</v>
      </c>
      <c r="AD118" s="2">
        <f>Model_1!N118</f>
        <v>1.0002115303800447</v>
      </c>
      <c r="AE118" s="2">
        <f>Model_2!N118</f>
        <v>0.79793833350792753</v>
      </c>
      <c r="AF118" s="2">
        <f ca="1">Model_3!N118</f>
        <v>0.85904785824407359</v>
      </c>
      <c r="AG118" s="2">
        <f>Model_4!N118</f>
        <v>0.33954124692677534</v>
      </c>
    </row>
    <row r="119" spans="1:33" x14ac:dyDescent="0.3">
      <c r="A119" s="1">
        <v>117</v>
      </c>
      <c r="B119" s="2">
        <f>Model_1!G119</f>
        <v>5.9650004533384759E-3</v>
      </c>
      <c r="C119" s="2">
        <f>Model_2!G119</f>
        <v>13.781006942220976</v>
      </c>
      <c r="D119" s="2">
        <f ca="1">Model_3!G119</f>
        <v>0</v>
      </c>
      <c r="E119" s="2">
        <f>Model_4!G119</f>
        <v>0</v>
      </c>
      <c r="F119" s="2">
        <f>Model_1!H119</f>
        <v>499.90060308919834</v>
      </c>
      <c r="G119" s="2">
        <f>Model_2!H119</f>
        <v>621.55024497921454</v>
      </c>
      <c r="H119" s="2">
        <f ca="1">Model_3!H119</f>
        <v>589.18864679306296</v>
      </c>
      <c r="I119" s="2">
        <f>Model_4!H119</f>
        <v>573.46885463198612</v>
      </c>
      <c r="J119" s="2">
        <f>Model_1!I119</f>
        <v>0</v>
      </c>
      <c r="K119" s="2">
        <f>Model_2!I119</f>
        <v>0</v>
      </c>
      <c r="L119" s="2">
        <f ca="1">Model_3!I119</f>
        <v>0</v>
      </c>
      <c r="M119" s="2">
        <f>Model_4!I119</f>
        <v>14.938754185279445</v>
      </c>
      <c r="N119" s="2">
        <f>Model_1!J119</f>
        <v>1000</v>
      </c>
      <c r="O119" s="2">
        <f>Model_2!J119</f>
        <v>1600</v>
      </c>
      <c r="P119" s="2">
        <f>Model_3!J119</f>
        <v>1600</v>
      </c>
      <c r="Q119" s="2">
        <f>Model_4!J119</f>
        <v>400</v>
      </c>
      <c r="R119" s="2">
        <f>Model_1!K119</f>
        <v>2.0003976666968892</v>
      </c>
      <c r="S119" s="2">
        <f>Model_2!K119</f>
        <v>2.5742086225925407</v>
      </c>
      <c r="T119" s="2">
        <f ca="1">Model_3!K119</f>
        <v>2.7155988302027789</v>
      </c>
      <c r="U119" s="2">
        <f>Model_4!K119</f>
        <v>0.6975095452336173</v>
      </c>
      <c r="V119" s="2">
        <f>Model_1!L119</f>
        <v>49.999999999999993</v>
      </c>
      <c r="W119" s="2">
        <f>Model_2!L119</f>
        <v>50</v>
      </c>
      <c r="X119" s="2">
        <f ca="1">Model_3!L119</f>
        <v>50</v>
      </c>
      <c r="Y119" s="2">
        <f>Model_4!L119</f>
        <v>50</v>
      </c>
      <c r="Z119" s="2">
        <f>Model_1!M119</f>
        <v>100.01988333484445</v>
      </c>
      <c r="AA119" s="2">
        <f>Model_2!M119</f>
        <v>128.71043112962704</v>
      </c>
      <c r="AB119" s="2">
        <f ca="1">Model_3!M119</f>
        <v>135.77994151013894</v>
      </c>
      <c r="AC119" s="2">
        <f>Model_4!M119</f>
        <v>34.875477261680864</v>
      </c>
      <c r="AD119" s="2">
        <f>Model_1!N119</f>
        <v>1.0001988333484446</v>
      </c>
      <c r="AE119" s="2">
        <f>Model_2!N119</f>
        <v>1.2871043112962703</v>
      </c>
      <c r="AF119" s="2">
        <f ca="1">Model_3!N119</f>
        <v>1.3577994151013895</v>
      </c>
      <c r="AG119" s="2">
        <f>Model_4!N119</f>
        <v>0.34875477261680865</v>
      </c>
    </row>
    <row r="120" spans="1:33" x14ac:dyDescent="0.3">
      <c r="A120" s="1">
        <v>118</v>
      </c>
      <c r="B120" s="2">
        <f>Model_1!G120</f>
        <v>5.6069623593124618E-3</v>
      </c>
      <c r="C120" s="2">
        <f>Model_2!G120</f>
        <v>0</v>
      </c>
      <c r="D120" s="2">
        <f ca="1">Model_3!G120</f>
        <v>0</v>
      </c>
      <c r="E120" s="2">
        <f>Model_4!G120</f>
        <v>0</v>
      </c>
      <c r="F120" s="2">
        <f>Model_1!H120</f>
        <v>499.90656808965167</v>
      </c>
      <c r="G120" s="2">
        <f>Model_2!H120</f>
        <v>635.33125192143552</v>
      </c>
      <c r="H120" s="2">
        <f ca="1">Model_3!H120</f>
        <v>589.18864679306296</v>
      </c>
      <c r="I120" s="2">
        <f>Model_4!H120</f>
        <v>558.53010044670668</v>
      </c>
      <c r="J120" s="2">
        <f>Model_1!I120</f>
        <v>0</v>
      </c>
      <c r="K120" s="2">
        <f>Model_2!I120</f>
        <v>5.4132500768574223</v>
      </c>
      <c r="L120" s="2">
        <f ca="1">Model_3!I120</f>
        <v>3.5675458717225146</v>
      </c>
      <c r="M120" s="2">
        <f>Model_4!I120</f>
        <v>14.341204017868268</v>
      </c>
      <c r="N120" s="2">
        <f>Model_1!J120</f>
        <v>1000</v>
      </c>
      <c r="O120" s="2">
        <f>Model_2!J120</f>
        <v>1000</v>
      </c>
      <c r="P120" s="2">
        <f>Model_3!J120</f>
        <v>1000</v>
      </c>
      <c r="Q120" s="2">
        <f>Model_4!J120</f>
        <v>400</v>
      </c>
      <c r="R120" s="2">
        <f>Model_1!K120</f>
        <v>2.0003737974906204</v>
      </c>
      <c r="S120" s="2">
        <f>Model_2!K120</f>
        <v>1.5739820715189043</v>
      </c>
      <c r="T120" s="2">
        <f ca="1">Model_3!K120</f>
        <v>1.6972492688767367</v>
      </c>
      <c r="U120" s="2">
        <f>Model_4!K120</f>
        <v>0.71616552031857206</v>
      </c>
      <c r="V120" s="2">
        <f>Model_1!L120</f>
        <v>50.000000000000014</v>
      </c>
      <c r="W120" s="2">
        <f>Model_2!L120</f>
        <v>50</v>
      </c>
      <c r="X120" s="2">
        <f ca="1">Model_3!L120</f>
        <v>50.000000000000014</v>
      </c>
      <c r="Y120" s="2">
        <f>Model_4!L120</f>
        <v>50</v>
      </c>
      <c r="Z120" s="2">
        <f>Model_1!M120</f>
        <v>100.01868987453105</v>
      </c>
      <c r="AA120" s="2">
        <f>Model_2!M120</f>
        <v>78.699103575945216</v>
      </c>
      <c r="AB120" s="2">
        <f ca="1">Model_3!M120</f>
        <v>84.862463443836859</v>
      </c>
      <c r="AC120" s="2">
        <f>Model_4!M120</f>
        <v>35.808276015928605</v>
      </c>
      <c r="AD120" s="2">
        <f>Model_1!N120</f>
        <v>1.0001868987453104</v>
      </c>
      <c r="AE120" s="2">
        <f>Model_2!N120</f>
        <v>0.78699103575945217</v>
      </c>
      <c r="AF120" s="2">
        <f ca="1">Model_3!N120</f>
        <v>0.84862463443836855</v>
      </c>
      <c r="AG120" s="2">
        <f>Model_4!N120</f>
        <v>0.35808276015928603</v>
      </c>
    </row>
    <row r="121" spans="1:33" x14ac:dyDescent="0.3">
      <c r="A121" s="1">
        <v>119</v>
      </c>
      <c r="B121" s="2">
        <f>Model_1!G121</f>
        <v>5.2704226285227307E-3</v>
      </c>
      <c r="C121" s="2">
        <f>Model_2!G121</f>
        <v>0</v>
      </c>
      <c r="D121" s="2">
        <f ca="1">Model_3!G121</f>
        <v>4.3974167528454622</v>
      </c>
      <c r="E121" s="2">
        <f>Model_4!G121</f>
        <v>0</v>
      </c>
      <c r="F121" s="2">
        <f>Model_1!H121</f>
        <v>499.91217505201098</v>
      </c>
      <c r="G121" s="2">
        <f>Model_2!H121</f>
        <v>629.91800184457816</v>
      </c>
      <c r="H121" s="2">
        <f ca="1">Model_3!H121</f>
        <v>585.62110092134049</v>
      </c>
      <c r="I121" s="2">
        <f>Model_4!H121</f>
        <v>544.18889642883846</v>
      </c>
      <c r="J121" s="2">
        <f>Model_1!I121</f>
        <v>0</v>
      </c>
      <c r="K121" s="2">
        <f>Model_2!I121</f>
        <v>17.196720073783126</v>
      </c>
      <c r="L121" s="2">
        <f ca="1">Model_3!I121</f>
        <v>15.424844036853619</v>
      </c>
      <c r="M121" s="2">
        <f>Model_4!I121</f>
        <v>13.767555857153541</v>
      </c>
      <c r="N121" s="2">
        <f>Model_1!J121</f>
        <v>1000</v>
      </c>
      <c r="O121" s="2">
        <f>Model_2!J121</f>
        <v>400</v>
      </c>
      <c r="P121" s="2">
        <f>Model_3!J121</f>
        <v>400</v>
      </c>
      <c r="Q121" s="2">
        <f>Model_4!J121</f>
        <v>400</v>
      </c>
      <c r="R121" s="2">
        <f>Model_1!K121</f>
        <v>2.0003513615085686</v>
      </c>
      <c r="S121" s="2">
        <f>Model_2!K121</f>
        <v>0.6350032842825365</v>
      </c>
      <c r="T121" s="2">
        <f ca="1">Model_3!K121</f>
        <v>0.68303549747557213</v>
      </c>
      <c r="U121" s="2">
        <f>Model_4!K121</f>
        <v>0.73503888562398567</v>
      </c>
      <c r="V121" s="2">
        <f>Model_1!L121</f>
        <v>49.999999999999993</v>
      </c>
      <c r="W121" s="2">
        <f>Model_2!L121</f>
        <v>50</v>
      </c>
      <c r="X121" s="2">
        <f ca="1">Model_3!L121</f>
        <v>49.999999999999993</v>
      </c>
      <c r="Y121" s="2">
        <f>Model_4!L121</f>
        <v>50</v>
      </c>
      <c r="Z121" s="2">
        <f>Model_1!M121</f>
        <v>100.01756807542841</v>
      </c>
      <c r="AA121" s="2">
        <f>Model_2!M121</f>
        <v>31.750164214126826</v>
      </c>
      <c r="AB121" s="2">
        <f ca="1">Model_3!M121</f>
        <v>34.151774873778599</v>
      </c>
      <c r="AC121" s="2">
        <f>Model_4!M121</f>
        <v>36.751944281199286</v>
      </c>
      <c r="AD121" s="2">
        <f>Model_1!N121</f>
        <v>1.0001756807542841</v>
      </c>
      <c r="AE121" s="2">
        <f>Model_2!N121</f>
        <v>0.31750164214126825</v>
      </c>
      <c r="AF121" s="2">
        <f ca="1">Model_3!N121</f>
        <v>0.34151774873778601</v>
      </c>
      <c r="AG121" s="2">
        <f>Model_4!N121</f>
        <v>0.36751944281199284</v>
      </c>
    </row>
    <row r="122" spans="1:33" x14ac:dyDescent="0.3">
      <c r="A122" s="1">
        <v>120</v>
      </c>
      <c r="B122" s="2">
        <f>Model_1!G122</f>
        <v>4.9540894866417773E-3</v>
      </c>
      <c r="C122" s="2">
        <f>Model_2!G122</f>
        <v>14.671235915002139</v>
      </c>
      <c r="D122" s="2">
        <f ca="1">Model_3!G122</f>
        <v>0</v>
      </c>
      <c r="E122" s="2">
        <f>Model_4!G122</f>
        <v>0</v>
      </c>
      <c r="F122" s="2">
        <f>Model_1!H122</f>
        <v>499.91744547463952</v>
      </c>
      <c r="G122" s="2">
        <f>Model_2!H122</f>
        <v>612.72128177079503</v>
      </c>
      <c r="H122" s="2">
        <f ca="1">Model_3!H122</f>
        <v>574.59367363733236</v>
      </c>
      <c r="I122" s="2">
        <f>Model_4!H122</f>
        <v>530.42134057168494</v>
      </c>
      <c r="J122" s="2">
        <f>Model_1!I122</f>
        <v>0</v>
      </c>
      <c r="K122" s="2">
        <f>Model_2!I122</f>
        <v>0</v>
      </c>
      <c r="L122" s="2">
        <f ca="1">Model_3!I122</f>
        <v>0</v>
      </c>
      <c r="M122" s="2">
        <f>Model_4!I122</f>
        <v>13.216853622867397</v>
      </c>
      <c r="N122" s="2">
        <f>Model_1!J122</f>
        <v>1000</v>
      </c>
      <c r="O122" s="2">
        <f>Model_2!J122</f>
        <v>1600</v>
      </c>
      <c r="P122" s="2">
        <f>Model_3!J122</f>
        <v>1600</v>
      </c>
      <c r="Q122" s="2">
        <f>Model_4!J122</f>
        <v>400</v>
      </c>
      <c r="R122" s="2">
        <f>Model_1!K122</f>
        <v>2.0003302726324428</v>
      </c>
      <c r="S122" s="2">
        <f>Model_2!K122</f>
        <v>2.6113014964584229</v>
      </c>
      <c r="T122" s="2">
        <f ca="1">Model_3!K122</f>
        <v>2.7845764292383697</v>
      </c>
      <c r="U122" s="2">
        <f>Model_4!K122</f>
        <v>0.75411747115770722</v>
      </c>
      <c r="V122" s="2">
        <f>Model_1!L122</f>
        <v>50</v>
      </c>
      <c r="W122" s="2">
        <f>Model_2!L122</f>
        <v>50</v>
      </c>
      <c r="X122" s="2">
        <f ca="1">Model_3!L122</f>
        <v>50</v>
      </c>
      <c r="Y122" s="2">
        <f>Model_4!L122</f>
        <v>50</v>
      </c>
      <c r="Z122" s="2">
        <f>Model_1!M122</f>
        <v>100.01651363162213</v>
      </c>
      <c r="AA122" s="2">
        <f>Model_2!M122</f>
        <v>130.56507482292113</v>
      </c>
      <c r="AB122" s="2">
        <f ca="1">Model_3!M122</f>
        <v>139.22882146191847</v>
      </c>
      <c r="AC122" s="2">
        <f>Model_4!M122</f>
        <v>37.705873557885361</v>
      </c>
      <c r="AD122" s="2">
        <f>Model_1!N122</f>
        <v>1.0001651363162214</v>
      </c>
      <c r="AE122" s="2">
        <f>Model_2!N122</f>
        <v>1.3056507482292112</v>
      </c>
      <c r="AF122" s="2">
        <f ca="1">Model_3!N122</f>
        <v>1.3922882146191846</v>
      </c>
      <c r="AG122" s="2">
        <f>Model_4!N122</f>
        <v>0.37705873557885361</v>
      </c>
    </row>
    <row r="123" spans="1:33" x14ac:dyDescent="0.3">
      <c r="A123" s="1">
        <v>121</v>
      </c>
      <c r="B123" s="2">
        <f>Model_1!G123</f>
        <v>4.6567488839155402E-3</v>
      </c>
      <c r="C123" s="2">
        <f>Model_2!G123</f>
        <v>0</v>
      </c>
      <c r="D123" s="2">
        <f ca="1">Model_3!G123</f>
        <v>0</v>
      </c>
      <c r="E123" s="2">
        <f>Model_4!G123</f>
        <v>26.245295562952176</v>
      </c>
      <c r="F123" s="2">
        <f>Model_1!H123</f>
        <v>499.92239956412618</v>
      </c>
      <c r="G123" s="2">
        <f>Model_2!H123</f>
        <v>627.3925176857972</v>
      </c>
      <c r="H123" s="2">
        <f ca="1">Model_3!H123</f>
        <v>574.59367363733236</v>
      </c>
      <c r="I123" s="2">
        <f>Model_4!H123</f>
        <v>517.20448694881759</v>
      </c>
      <c r="J123" s="2">
        <f>Model_1!I123</f>
        <v>0</v>
      </c>
      <c r="K123" s="2">
        <f>Model_2!I123</f>
        <v>5.0957007074318845</v>
      </c>
      <c r="L123" s="2">
        <f ca="1">Model_3!I123</f>
        <v>2.9837469454932943</v>
      </c>
      <c r="M123" s="2">
        <f>Model_4!I123</f>
        <v>0</v>
      </c>
      <c r="N123" s="2">
        <f>Model_1!J123</f>
        <v>1000</v>
      </c>
      <c r="O123" s="2">
        <f>Model_2!J123</f>
        <v>1000</v>
      </c>
      <c r="P123" s="2">
        <f>Model_3!J123</f>
        <v>1000</v>
      </c>
      <c r="Q123" s="2">
        <f>Model_4!J123</f>
        <v>1600</v>
      </c>
      <c r="R123" s="2">
        <f>Model_1!K123</f>
        <v>2.0003104499255944</v>
      </c>
      <c r="S123" s="2">
        <f>Model_2!K123</f>
        <v>1.5938985113953932</v>
      </c>
      <c r="T123" s="2">
        <f ca="1">Model_3!K123</f>
        <v>1.7403602682739809</v>
      </c>
      <c r="U123" s="2">
        <f>Model_4!K123</f>
        <v>3</v>
      </c>
      <c r="V123" s="2">
        <f>Model_1!L123</f>
        <v>50</v>
      </c>
      <c r="W123" s="2">
        <f>Model_2!L123</f>
        <v>50</v>
      </c>
      <c r="X123" s="2">
        <f ca="1">Model_3!L123</f>
        <v>50</v>
      </c>
      <c r="Y123" s="2">
        <f>Model_4!L123</f>
        <v>51.559233029827901</v>
      </c>
      <c r="Z123" s="2">
        <f>Model_1!M123</f>
        <v>100.01552249627971</v>
      </c>
      <c r="AA123" s="2">
        <f>Model_2!M123</f>
        <v>79.694925569769666</v>
      </c>
      <c r="AB123" s="2">
        <f ca="1">Model_3!M123</f>
        <v>87.018013413699052</v>
      </c>
      <c r="AC123" s="2">
        <f>Model_4!M123</f>
        <v>154.6776990894837</v>
      </c>
      <c r="AD123" s="2">
        <f>Model_1!N123</f>
        <v>1.0001552249627972</v>
      </c>
      <c r="AE123" s="2">
        <f>Model_2!N123</f>
        <v>0.7969492556976967</v>
      </c>
      <c r="AF123" s="2">
        <f ca="1">Model_3!N123</f>
        <v>0.87018013413699047</v>
      </c>
      <c r="AG123" s="2">
        <f>Model_4!N123</f>
        <v>1.546776990894837</v>
      </c>
    </row>
    <row r="124" spans="1:33" x14ac:dyDescent="0.3">
      <c r="A124" s="1">
        <v>122</v>
      </c>
      <c r="B124" s="2">
        <f>Model_1!G124</f>
        <v>4.3772598063340773E-3</v>
      </c>
      <c r="C124" s="2">
        <f>Model_2!G124</f>
        <v>0</v>
      </c>
      <c r="D124" s="2">
        <f ca="1">Model_3!G124</f>
        <v>10.733982453041683</v>
      </c>
      <c r="E124" s="2">
        <f>Model_4!G124</f>
        <v>22.659702581016973</v>
      </c>
      <c r="F124" s="2">
        <f>Model_1!H124</f>
        <v>499.9270563130101</v>
      </c>
      <c r="G124" s="2">
        <f>Model_2!H124</f>
        <v>622.29681697836531</v>
      </c>
      <c r="H124" s="2">
        <f ca="1">Model_3!H124</f>
        <v>571.60992669183906</v>
      </c>
      <c r="I124" s="2">
        <f>Model_4!H124</f>
        <v>543.44978251176974</v>
      </c>
      <c r="J124" s="2">
        <f>Model_1!I124</f>
        <v>0</v>
      </c>
      <c r="K124" s="2">
        <f>Model_2!I124</f>
        <v>4.8918726791346128</v>
      </c>
      <c r="L124" s="2">
        <f ca="1">Model_3!I124</f>
        <v>2.8643970676735626</v>
      </c>
      <c r="M124" s="2">
        <f>Model_4!I124</f>
        <v>0</v>
      </c>
      <c r="N124" s="2">
        <f>Model_1!J124</f>
        <v>1000</v>
      </c>
      <c r="O124" s="2">
        <f>Model_2!J124</f>
        <v>1000</v>
      </c>
      <c r="P124" s="2">
        <f>Model_3!J124</f>
        <v>1000</v>
      </c>
      <c r="Q124" s="2">
        <f>Model_4!J124</f>
        <v>1600</v>
      </c>
      <c r="R124" s="2">
        <f>Model_1!K124</f>
        <v>2.0002918173204223</v>
      </c>
      <c r="S124" s="2">
        <f>Model_2!K124</f>
        <v>1.606950208833811</v>
      </c>
      <c r="T124" s="2">
        <f ca="1">Model_3!K124</f>
        <v>1.7494447757187228</v>
      </c>
      <c r="U124" s="2">
        <f>Model_4!K124</f>
        <v>2.9441542742090396</v>
      </c>
      <c r="V124" s="2">
        <f>Model_1!L124</f>
        <v>50</v>
      </c>
      <c r="W124" s="2">
        <f>Model_2!L124</f>
        <v>50</v>
      </c>
      <c r="X124" s="2">
        <f ca="1">Model_3!L124</f>
        <v>50</v>
      </c>
      <c r="Y124" s="2">
        <f>Model_4!L124</f>
        <v>50.000000000000014</v>
      </c>
      <c r="Z124" s="2">
        <f>Model_1!M124</f>
        <v>100.01459086602111</v>
      </c>
      <c r="AA124" s="2">
        <f>Model_2!M124</f>
        <v>80.347510441690545</v>
      </c>
      <c r="AB124" s="2">
        <f ca="1">Model_3!M124</f>
        <v>87.472238785936142</v>
      </c>
      <c r="AC124" s="2">
        <f>Model_4!M124</f>
        <v>147.20771371045203</v>
      </c>
      <c r="AD124" s="2">
        <f>Model_1!N124</f>
        <v>1.0001459086602111</v>
      </c>
      <c r="AE124" s="2">
        <f>Model_2!N124</f>
        <v>0.80347510441690551</v>
      </c>
      <c r="AF124" s="2">
        <f ca="1">Model_3!N124</f>
        <v>0.87472238785936141</v>
      </c>
      <c r="AG124" s="2">
        <f>Model_4!N124</f>
        <v>1.4720771371045203</v>
      </c>
    </row>
    <row r="125" spans="1:33" x14ac:dyDescent="0.3">
      <c r="A125" s="1">
        <v>123</v>
      </c>
      <c r="B125" s="2">
        <f>Model_1!G125</f>
        <v>4.1145498709815875E-3</v>
      </c>
      <c r="C125" s="2">
        <f>Model_2!G125</f>
        <v>14.195809014106477</v>
      </c>
      <c r="D125" s="2">
        <f ca="1">Model_3!G125</f>
        <v>0</v>
      </c>
      <c r="E125" s="2">
        <f>Model_4!G125</f>
        <v>19.831401895176072</v>
      </c>
      <c r="F125" s="2">
        <f>Model_1!H125</f>
        <v>499.93143357281645</v>
      </c>
      <c r="G125" s="2">
        <f>Model_2!H125</f>
        <v>617.40494429923069</v>
      </c>
      <c r="H125" s="2">
        <f ca="1">Model_3!H125</f>
        <v>579.47951207720723</v>
      </c>
      <c r="I125" s="2">
        <f>Model_4!H125</f>
        <v>566.10948509278671</v>
      </c>
      <c r="J125" s="2">
        <f>Model_1!I125</f>
        <v>0</v>
      </c>
      <c r="K125" s="2">
        <f>Model_2!I125</f>
        <v>0</v>
      </c>
      <c r="L125" s="2">
        <f ca="1">Model_3!I125</f>
        <v>0</v>
      </c>
      <c r="M125" s="2">
        <f>Model_4!I125</f>
        <v>0</v>
      </c>
      <c r="N125" s="2">
        <f>Model_1!J125</f>
        <v>1000</v>
      </c>
      <c r="O125" s="2">
        <f>Model_2!J125</f>
        <v>1600</v>
      </c>
      <c r="P125" s="2">
        <f>Model_3!J125</f>
        <v>1600</v>
      </c>
      <c r="Q125" s="2">
        <f>Model_4!J125</f>
        <v>1600</v>
      </c>
      <c r="R125" s="2">
        <f>Model_1!K125</f>
        <v>2.0002743033247321</v>
      </c>
      <c r="S125" s="2">
        <f>Model_2!K125</f>
        <v>2.5914920422544365</v>
      </c>
      <c r="T125" s="2">
        <f ca="1">Model_3!K125</f>
        <v>2.761098480021539</v>
      </c>
      <c r="U125" s="2">
        <f>Model_4!K125</f>
        <v>2.826308412299003</v>
      </c>
      <c r="V125" s="2">
        <f>Model_1!L125</f>
        <v>50</v>
      </c>
      <c r="W125" s="2">
        <f>Model_2!L125</f>
        <v>50</v>
      </c>
      <c r="X125" s="2">
        <f ca="1">Model_3!L125</f>
        <v>50</v>
      </c>
      <c r="Y125" s="2">
        <f>Model_4!L125</f>
        <v>50</v>
      </c>
      <c r="Z125" s="2">
        <f>Model_1!M125</f>
        <v>100.01371516623661</v>
      </c>
      <c r="AA125" s="2">
        <f>Model_2!M125</f>
        <v>129.57460211272183</v>
      </c>
      <c r="AB125" s="2">
        <f ca="1">Model_3!M125</f>
        <v>138.05492400107696</v>
      </c>
      <c r="AC125" s="2">
        <f>Model_4!M125</f>
        <v>141.31542061495014</v>
      </c>
      <c r="AD125" s="2">
        <f>Model_1!N125</f>
        <v>1.0001371516623661</v>
      </c>
      <c r="AE125" s="2">
        <f>Model_2!N125</f>
        <v>1.2957460211272183</v>
      </c>
      <c r="AF125" s="2">
        <f ca="1">Model_3!N125</f>
        <v>1.3805492400107695</v>
      </c>
      <c r="AG125" s="2">
        <f>Model_4!N125</f>
        <v>1.4131542061495015</v>
      </c>
    </row>
    <row r="126" spans="1:33" x14ac:dyDescent="0.3">
      <c r="A126" s="1">
        <v>124</v>
      </c>
      <c r="B126" s="2">
        <f>Model_1!G126</f>
        <v>3.8676111883595432E-3</v>
      </c>
      <c r="C126" s="2">
        <f>Model_2!G126</f>
        <v>0</v>
      </c>
      <c r="D126" s="2">
        <f ca="1">Model_3!G126</f>
        <v>0</v>
      </c>
      <c r="E126" s="2">
        <f>Model_4!G126</f>
        <v>17.535621173998848</v>
      </c>
      <c r="F126" s="2">
        <f>Model_1!H126</f>
        <v>499.93554812268741</v>
      </c>
      <c r="G126" s="2">
        <f>Model_2!H126</f>
        <v>631.60075331333712</v>
      </c>
      <c r="H126" s="2">
        <f ca="1">Model_3!H126</f>
        <v>579.47951207720723</v>
      </c>
      <c r="I126" s="2">
        <f>Model_4!H126</f>
        <v>585.94088698796281</v>
      </c>
      <c r="J126" s="2">
        <f>Model_1!I126</f>
        <v>0</v>
      </c>
      <c r="K126" s="2">
        <f>Model_2!I126</f>
        <v>5.2640301325334855</v>
      </c>
      <c r="L126" s="2">
        <f ca="1">Model_3!I126</f>
        <v>3.179180483088289</v>
      </c>
      <c r="M126" s="2">
        <f>Model_4!I126</f>
        <v>0</v>
      </c>
      <c r="N126" s="2">
        <f>Model_1!J126</f>
        <v>1000</v>
      </c>
      <c r="O126" s="2">
        <f>Model_2!J126</f>
        <v>1000</v>
      </c>
      <c r="P126" s="2">
        <f>Model_3!J126</f>
        <v>1000</v>
      </c>
      <c r="Q126" s="2">
        <f>Model_4!J126</f>
        <v>1600</v>
      </c>
      <c r="R126" s="2">
        <f>Model_1!K126</f>
        <v>2.0002578407458906</v>
      </c>
      <c r="S126" s="2">
        <f>Model_2!K126</f>
        <v>1.5832786689282177</v>
      </c>
      <c r="T126" s="2">
        <f ca="1">Model_3!K126</f>
        <v>1.7256865500134619</v>
      </c>
      <c r="U126" s="2">
        <f>Model_4!K126</f>
        <v>2.730650882249952</v>
      </c>
      <c r="V126" s="2">
        <f>Model_1!L126</f>
        <v>50</v>
      </c>
      <c r="W126" s="2">
        <f>Model_2!L126</f>
        <v>50</v>
      </c>
      <c r="X126" s="2">
        <f ca="1">Model_3!L126</f>
        <v>50</v>
      </c>
      <c r="Y126" s="2">
        <f>Model_4!L126</f>
        <v>50</v>
      </c>
      <c r="Z126" s="2">
        <f>Model_1!M126</f>
        <v>100.01289203729453</v>
      </c>
      <c r="AA126" s="2">
        <f>Model_2!M126</f>
        <v>79.16393344641088</v>
      </c>
      <c r="AB126" s="2">
        <f ca="1">Model_3!M126</f>
        <v>86.284327500673101</v>
      </c>
      <c r="AC126" s="2">
        <f>Model_4!M126</f>
        <v>136.53254411249759</v>
      </c>
      <c r="AD126" s="2">
        <f>Model_1!N126</f>
        <v>1.0001289203729453</v>
      </c>
      <c r="AE126" s="2">
        <f>Model_2!N126</f>
        <v>0.79163933446410883</v>
      </c>
      <c r="AF126" s="2">
        <f ca="1">Model_3!N126</f>
        <v>0.86284327500673097</v>
      </c>
      <c r="AG126" s="2">
        <f>Model_4!N126</f>
        <v>1.365325441124976</v>
      </c>
    </row>
    <row r="127" spans="1:33" x14ac:dyDescent="0.3">
      <c r="A127" s="1">
        <v>125</v>
      </c>
      <c r="B127" s="2">
        <f>Model_1!G127</f>
        <v>3.6354964752227659E-3</v>
      </c>
      <c r="C127" s="2">
        <f>Model_2!G127</f>
        <v>0</v>
      </c>
      <c r="D127" s="2">
        <f ca="1">Model_3!G127</f>
        <v>11.768646438575539</v>
      </c>
      <c r="E127" s="2">
        <f>Model_4!G127</f>
        <v>15.631308726427115</v>
      </c>
      <c r="F127" s="2">
        <f>Model_1!H127</f>
        <v>499.93941573387576</v>
      </c>
      <c r="G127" s="2">
        <f>Model_2!H127</f>
        <v>626.33672318080369</v>
      </c>
      <c r="H127" s="2">
        <f ca="1">Model_3!H127</f>
        <v>576.30033159411892</v>
      </c>
      <c r="I127" s="2">
        <f>Model_4!H127</f>
        <v>603.47650816196165</v>
      </c>
      <c r="J127" s="2">
        <f>Model_1!I127</f>
        <v>0</v>
      </c>
      <c r="K127" s="2">
        <f>Model_2!I127</f>
        <v>5.0534689272321467</v>
      </c>
      <c r="L127" s="2">
        <f ca="1">Model_3!I127</f>
        <v>3.0520132637647559</v>
      </c>
      <c r="M127" s="2">
        <f>Model_4!I127</f>
        <v>0</v>
      </c>
      <c r="N127" s="2">
        <f>Model_1!J127</f>
        <v>1000</v>
      </c>
      <c r="O127" s="2">
        <f>Model_2!J127</f>
        <v>1000</v>
      </c>
      <c r="P127" s="2">
        <f>Model_3!J127</f>
        <v>1000</v>
      </c>
      <c r="Q127" s="2">
        <f>Model_4!J127</f>
        <v>1600</v>
      </c>
      <c r="R127" s="2">
        <f>Model_1!K127</f>
        <v>2.000242366431682</v>
      </c>
      <c r="S127" s="2">
        <f>Model_2!K127</f>
        <v>1.5965852918883243</v>
      </c>
      <c r="T127" s="2">
        <f ca="1">Model_3!K127</f>
        <v>1.7352063588682567</v>
      </c>
      <c r="U127" s="2">
        <f>Model_4!K127</f>
        <v>2.6513045302677969</v>
      </c>
      <c r="V127" s="2">
        <f>Model_1!L127</f>
        <v>49.999999999999993</v>
      </c>
      <c r="W127" s="2">
        <f>Model_2!L127</f>
        <v>50</v>
      </c>
      <c r="X127" s="2">
        <f ca="1">Model_3!L127</f>
        <v>50</v>
      </c>
      <c r="Y127" s="2">
        <f>Model_4!L127</f>
        <v>50</v>
      </c>
      <c r="Z127" s="2">
        <f>Model_1!M127</f>
        <v>100.01211832158408</v>
      </c>
      <c r="AA127" s="2">
        <f>Model_2!M127</f>
        <v>79.829264594416216</v>
      </c>
      <c r="AB127" s="2">
        <f ca="1">Model_3!M127</f>
        <v>86.760317943412829</v>
      </c>
      <c r="AC127" s="2">
        <f>Model_4!M127</f>
        <v>132.56522651338983</v>
      </c>
      <c r="AD127" s="2">
        <f>Model_1!N127</f>
        <v>1.0001211832158408</v>
      </c>
      <c r="AE127" s="2">
        <f>Model_2!N127</f>
        <v>0.79829264594416216</v>
      </c>
      <c r="AF127" s="2">
        <f ca="1">Model_3!N127</f>
        <v>0.86760317943412835</v>
      </c>
      <c r="AG127" s="2">
        <f>Model_4!N127</f>
        <v>1.3256522651338982</v>
      </c>
    </row>
    <row r="128" spans="1:33" x14ac:dyDescent="0.3">
      <c r="A128" s="1">
        <v>126</v>
      </c>
      <c r="B128" s="2">
        <f>Model_1!G128</f>
        <v>3.417315402760579E-3</v>
      </c>
      <c r="C128" s="2">
        <f>Model_2!G128</f>
        <v>13.807556757883212</v>
      </c>
      <c r="D128" s="2">
        <f ca="1">Model_3!G128</f>
        <v>0</v>
      </c>
      <c r="E128" s="2">
        <f>Model_4!G128</f>
        <v>14.024737779918311</v>
      </c>
      <c r="F128" s="2">
        <f>Model_1!H128</f>
        <v>499.94305123035099</v>
      </c>
      <c r="G128" s="2">
        <f>Model_2!H128</f>
        <v>621.2832542535715</v>
      </c>
      <c r="H128" s="2">
        <f ca="1">Model_3!H128</f>
        <v>585.01696476892971</v>
      </c>
      <c r="I128" s="2">
        <f>Model_4!H128</f>
        <v>619.10781688838881</v>
      </c>
      <c r="J128" s="2">
        <f>Model_1!I128</f>
        <v>0</v>
      </c>
      <c r="K128" s="2">
        <f>Model_2!I128</f>
        <v>0</v>
      </c>
      <c r="L128" s="2">
        <f ca="1">Model_3!I128</f>
        <v>0</v>
      </c>
      <c r="M128" s="2">
        <f>Model_4!I128</f>
        <v>0</v>
      </c>
      <c r="N128" s="2">
        <f>Model_1!J128</f>
        <v>1000</v>
      </c>
      <c r="O128" s="2">
        <f>Model_2!J128</f>
        <v>1600</v>
      </c>
      <c r="P128" s="2">
        <f>Model_3!J128</f>
        <v>1600</v>
      </c>
      <c r="Q128" s="2">
        <f>Model_4!J128</f>
        <v>1600</v>
      </c>
      <c r="R128" s="2">
        <f>Model_1!K128</f>
        <v>2.0002278210268503</v>
      </c>
      <c r="S128" s="2">
        <f>Model_2!K128</f>
        <v>2.5753148649118001</v>
      </c>
      <c r="T128" s="2">
        <f ca="1">Model_3!K128</f>
        <v>2.7349634221837804</v>
      </c>
      <c r="U128" s="2">
        <f>Model_4!K128</f>
        <v>2.584364074163263</v>
      </c>
      <c r="V128" s="2">
        <f>Model_1!L128</f>
        <v>50.000000000000014</v>
      </c>
      <c r="W128" s="2">
        <f>Model_2!L128</f>
        <v>50</v>
      </c>
      <c r="X128" s="2">
        <f ca="1">Model_3!L128</f>
        <v>50</v>
      </c>
      <c r="Y128" s="2">
        <f>Model_4!L128</f>
        <v>50</v>
      </c>
      <c r="Z128" s="2">
        <f>Model_1!M128</f>
        <v>100.01139105134254</v>
      </c>
      <c r="AA128" s="2">
        <f>Model_2!M128</f>
        <v>128.76574324559002</v>
      </c>
      <c r="AB128" s="2">
        <f ca="1">Model_3!M128</f>
        <v>136.74817110918903</v>
      </c>
      <c r="AC128" s="2">
        <f>Model_4!M128</f>
        <v>129.21820370816314</v>
      </c>
      <c r="AD128" s="2">
        <f>Model_1!N128</f>
        <v>1.0001139105134254</v>
      </c>
      <c r="AE128" s="2">
        <f>Model_2!N128</f>
        <v>1.2876574324559003</v>
      </c>
      <c r="AF128" s="2">
        <f ca="1">Model_3!N128</f>
        <v>1.3674817110918902</v>
      </c>
      <c r="AG128" s="2">
        <f>Model_4!N128</f>
        <v>1.2921820370816315</v>
      </c>
    </row>
    <row r="129" spans="1:33" x14ac:dyDescent="0.3">
      <c r="A129" s="1">
        <v>127</v>
      </c>
      <c r="B129" s="2">
        <f>Model_1!G129</f>
        <v>3.2122311655813363E-3</v>
      </c>
      <c r="C129" s="2">
        <f>Model_2!G129</f>
        <v>0</v>
      </c>
      <c r="D129" s="2">
        <f ca="1">Model_3!G129</f>
        <v>0</v>
      </c>
      <c r="E129" s="2">
        <f>Model_4!G129</f>
        <v>12.650806402013938</v>
      </c>
      <c r="F129" s="2">
        <f>Model_1!H129</f>
        <v>499.94646854575376</v>
      </c>
      <c r="G129" s="2">
        <f>Model_2!H129</f>
        <v>635.09081101145466</v>
      </c>
      <c r="H129" s="2">
        <f ca="1">Model_3!H129</f>
        <v>585.01696476892971</v>
      </c>
      <c r="I129" s="2">
        <f>Model_4!H129</f>
        <v>633.13255466830708</v>
      </c>
      <c r="J129" s="2">
        <f>Model_1!I129</f>
        <v>0</v>
      </c>
      <c r="K129" s="2">
        <f>Model_2!I129</f>
        <v>5.4036324404581828</v>
      </c>
      <c r="L129" s="2">
        <f ca="1">Model_3!I129</f>
        <v>3.4006785907571877</v>
      </c>
      <c r="M129" s="2">
        <f>Model_4!I129</f>
        <v>0</v>
      </c>
      <c r="N129" s="2">
        <f>Model_1!J129</f>
        <v>1000</v>
      </c>
      <c r="O129" s="2">
        <f>Model_2!J129</f>
        <v>1000</v>
      </c>
      <c r="P129" s="2">
        <f>Model_3!J129</f>
        <v>1000</v>
      </c>
      <c r="Q129" s="2">
        <f>Model_4!J129</f>
        <v>1600</v>
      </c>
      <c r="R129" s="2">
        <f>Model_1!K129</f>
        <v>2.0002141487443725</v>
      </c>
      <c r="S129" s="2">
        <f>Model_2!K129</f>
        <v>1.5745779700502764</v>
      </c>
      <c r="T129" s="2">
        <f ca="1">Model_3!K129</f>
        <v>1.7093521388648627</v>
      </c>
      <c r="U129" s="2">
        <f>Model_4!K129</f>
        <v>2.5271169334172474</v>
      </c>
      <c r="V129" s="2">
        <f>Model_1!L129</f>
        <v>49.999999999999993</v>
      </c>
      <c r="W129" s="2">
        <f>Model_2!L129</f>
        <v>50</v>
      </c>
      <c r="X129" s="2">
        <f ca="1">Model_3!L129</f>
        <v>50</v>
      </c>
      <c r="Y129" s="2">
        <f>Model_4!L129</f>
        <v>50</v>
      </c>
      <c r="Z129" s="2">
        <f>Model_1!M129</f>
        <v>100.01070743721861</v>
      </c>
      <c r="AA129" s="2">
        <f>Model_2!M129</f>
        <v>78.728898502513829</v>
      </c>
      <c r="AB129" s="2">
        <f ca="1">Model_3!M129</f>
        <v>85.46760694324314</v>
      </c>
      <c r="AC129" s="2">
        <f>Model_4!M129</f>
        <v>126.35584667086238</v>
      </c>
      <c r="AD129" s="2">
        <f>Model_1!N129</f>
        <v>1.000107074372186</v>
      </c>
      <c r="AE129" s="2">
        <f>Model_2!N129</f>
        <v>0.78728898502513833</v>
      </c>
      <c r="AF129" s="2">
        <f ca="1">Model_3!N129</f>
        <v>0.85467606943243135</v>
      </c>
      <c r="AG129" s="2">
        <f>Model_4!N129</f>
        <v>1.2635584667086237</v>
      </c>
    </row>
    <row r="130" spans="1:33" x14ac:dyDescent="0.3">
      <c r="A130" s="1">
        <v>128</v>
      </c>
      <c r="B130" s="2">
        <f>Model_1!G130</f>
        <v>3.0194572583241985E-3</v>
      </c>
      <c r="C130" s="2">
        <f>Model_2!G130</f>
        <v>0</v>
      </c>
      <c r="D130" s="2">
        <f ca="1">Model_3!G130</f>
        <v>11.416477200323085</v>
      </c>
      <c r="E130" s="2">
        <f>Model_4!G130</f>
        <v>11.462665523552452</v>
      </c>
      <c r="F130" s="2">
        <f>Model_1!H130</f>
        <v>499.94968077691937</v>
      </c>
      <c r="G130" s="2">
        <f>Model_2!H130</f>
        <v>629.68717857099648</v>
      </c>
      <c r="H130" s="2">
        <f ca="1">Model_3!H130</f>
        <v>581.61628617817257</v>
      </c>
      <c r="I130" s="2">
        <f>Model_4!H130</f>
        <v>645.78336107032101</v>
      </c>
      <c r="J130" s="2">
        <f>Model_1!I130</f>
        <v>0</v>
      </c>
      <c r="K130" s="2">
        <f>Model_2!I130</f>
        <v>5.1874871428398608</v>
      </c>
      <c r="L130" s="2">
        <f ca="1">Model_3!I130</f>
        <v>3.2646514471269028</v>
      </c>
      <c r="M130" s="2">
        <f>Model_4!I130</f>
        <v>0</v>
      </c>
      <c r="N130" s="2">
        <f>Model_1!J130</f>
        <v>1000</v>
      </c>
      <c r="O130" s="2">
        <f>Model_2!J130</f>
        <v>1000</v>
      </c>
      <c r="P130" s="2">
        <f>Model_3!J130</f>
        <v>1000</v>
      </c>
      <c r="Q130" s="2">
        <f>Model_4!J130</f>
        <v>1600</v>
      </c>
      <c r="R130" s="2">
        <f>Model_1!K130</f>
        <v>2.0002012971505549</v>
      </c>
      <c r="S130" s="2">
        <f>Model_2!K130</f>
        <v>1.5880901406780847</v>
      </c>
      <c r="T130" s="2">
        <f ca="1">Model_3!K130</f>
        <v>1.7193466272601239</v>
      </c>
      <c r="U130" s="2">
        <f>Model_4!K130</f>
        <v>2.4776110634813522</v>
      </c>
      <c r="V130" s="2">
        <f>Model_1!L130</f>
        <v>50</v>
      </c>
      <c r="W130" s="2">
        <f>Model_2!L130</f>
        <v>49.999999999999993</v>
      </c>
      <c r="X130" s="2">
        <f ca="1">Model_3!L130</f>
        <v>50</v>
      </c>
      <c r="Y130" s="2">
        <f>Model_4!L130</f>
        <v>50</v>
      </c>
      <c r="Z130" s="2">
        <f>Model_1!M130</f>
        <v>100.01006485752775</v>
      </c>
      <c r="AA130" s="2">
        <f>Model_2!M130</f>
        <v>79.404507033904224</v>
      </c>
      <c r="AB130" s="2">
        <f ca="1">Model_3!M130</f>
        <v>85.967331363006195</v>
      </c>
      <c r="AC130" s="2">
        <f>Model_4!M130</f>
        <v>123.88055317406761</v>
      </c>
      <c r="AD130" s="2">
        <f>Model_1!N130</f>
        <v>1.0001006485752775</v>
      </c>
      <c r="AE130" s="2">
        <f>Model_2!N130</f>
        <v>0.79404507033904226</v>
      </c>
      <c r="AF130" s="2">
        <f ca="1">Model_3!N130</f>
        <v>0.85967331363006194</v>
      </c>
      <c r="AG130" s="2">
        <f>Model_4!N130</f>
        <v>1.2388055317406761</v>
      </c>
    </row>
    <row r="131" spans="1:33" x14ac:dyDescent="0.3">
      <c r="A131" s="1">
        <v>129</v>
      </c>
      <c r="B131" s="2">
        <f>Model_1!G131</f>
        <v>2.8382544468819049E-3</v>
      </c>
      <c r="C131" s="2">
        <f>Model_2!G131</f>
        <v>13.489221735536425</v>
      </c>
      <c r="D131" s="2">
        <f ca="1">Model_3!G131</f>
        <v>0</v>
      </c>
      <c r="E131" s="2">
        <f>Model_4!G131</f>
        <v>10.425609963752876</v>
      </c>
      <c r="F131" s="2">
        <f>Model_1!H131</f>
        <v>499.95270023417771</v>
      </c>
      <c r="G131" s="2">
        <f>Model_2!H131</f>
        <v>624.49969142815667</v>
      </c>
      <c r="H131" s="2">
        <f ca="1">Model_3!H131</f>
        <v>589.76811193136871</v>
      </c>
      <c r="I131" s="2">
        <f>Model_4!H131</f>
        <v>657.24602659387347</v>
      </c>
      <c r="J131" s="2">
        <f>Model_1!I131</f>
        <v>0</v>
      </c>
      <c r="K131" s="2">
        <f>Model_2!I131</f>
        <v>0</v>
      </c>
      <c r="L131" s="2">
        <f ca="1">Model_3!I131</f>
        <v>0</v>
      </c>
      <c r="M131" s="2">
        <f>Model_4!I131</f>
        <v>0</v>
      </c>
      <c r="N131" s="2">
        <f>Model_1!J131</f>
        <v>1000</v>
      </c>
      <c r="O131" s="2">
        <f>Model_2!J131</f>
        <v>1600</v>
      </c>
      <c r="P131" s="2">
        <f>Model_3!J131</f>
        <v>1600</v>
      </c>
      <c r="Q131" s="2">
        <f>Model_4!J131</f>
        <v>1600</v>
      </c>
      <c r="R131" s="2">
        <f>Model_1!K131</f>
        <v>2.0001892169631255</v>
      </c>
      <c r="S131" s="2">
        <f>Model_2!K131</f>
        <v>2.5620509056473511</v>
      </c>
      <c r="T131" s="2">
        <f ca="1">Model_3!K131</f>
        <v>2.7129306716165624</v>
      </c>
      <c r="U131" s="2">
        <f>Model_4!K131</f>
        <v>2.4344004151563698</v>
      </c>
      <c r="V131" s="2">
        <f>Model_1!L131</f>
        <v>49.999999999999993</v>
      </c>
      <c r="W131" s="2">
        <f>Model_2!L131</f>
        <v>50</v>
      </c>
      <c r="X131" s="2">
        <f ca="1">Model_3!L131</f>
        <v>50</v>
      </c>
      <c r="Y131" s="2">
        <f>Model_4!L131</f>
        <v>50</v>
      </c>
      <c r="Z131" s="2">
        <f>Model_1!M131</f>
        <v>100.00946084815627</v>
      </c>
      <c r="AA131" s="2">
        <f>Model_2!M131</f>
        <v>128.10254528236754</v>
      </c>
      <c r="AB131" s="2">
        <f ca="1">Model_3!M131</f>
        <v>135.64653358082813</v>
      </c>
      <c r="AC131" s="2">
        <f>Model_4!M131</f>
        <v>121.72002075781849</v>
      </c>
      <c r="AD131" s="2">
        <f>Model_1!N131</f>
        <v>1.0000946084815627</v>
      </c>
      <c r="AE131" s="2">
        <f>Model_2!N131</f>
        <v>1.2810254528236755</v>
      </c>
      <c r="AF131" s="2">
        <f ca="1">Model_3!N131</f>
        <v>1.3564653358082814</v>
      </c>
      <c r="AG131" s="2">
        <f>Model_4!N131</f>
        <v>1.2172002075781849</v>
      </c>
    </row>
    <row r="132" spans="1:33" x14ac:dyDescent="0.3">
      <c r="A132" s="1">
        <v>130</v>
      </c>
      <c r="B132" s="2">
        <f>Model_1!G132</f>
        <v>2.6679279227437291E-3</v>
      </c>
      <c r="C132" s="2">
        <f>Model_2!G132</f>
        <v>0</v>
      </c>
      <c r="D132" s="2">
        <f ca="1">Model_3!G132</f>
        <v>0</v>
      </c>
      <c r="E132" s="2">
        <f>Model_4!G132</f>
        <v>9.5133012958020551</v>
      </c>
      <c r="F132" s="2">
        <f>Model_1!H132</f>
        <v>499.9555384886246</v>
      </c>
      <c r="G132" s="2">
        <f>Model_2!H132</f>
        <v>637.98891316369304</v>
      </c>
      <c r="H132" s="2">
        <f ca="1">Model_3!H132</f>
        <v>589.76811193136871</v>
      </c>
      <c r="I132" s="2">
        <f>Model_4!H132</f>
        <v>667.67163655762636</v>
      </c>
      <c r="J132" s="2">
        <f>Model_1!I132</f>
        <v>0</v>
      </c>
      <c r="K132" s="2">
        <f>Model_2!I132</f>
        <v>5.5195565265477189</v>
      </c>
      <c r="L132" s="2">
        <f ca="1">Model_3!I132</f>
        <v>3.5907244772547462</v>
      </c>
      <c r="M132" s="2">
        <f>Model_4!I132</f>
        <v>0</v>
      </c>
      <c r="N132" s="2">
        <f>Model_1!J132</f>
        <v>1000</v>
      </c>
      <c r="O132" s="2">
        <f>Model_2!J132</f>
        <v>1000</v>
      </c>
      <c r="P132" s="2">
        <f>Model_3!J132</f>
        <v>1000</v>
      </c>
      <c r="Q132" s="2">
        <f>Model_4!J132</f>
        <v>1600</v>
      </c>
      <c r="R132" s="2">
        <f>Model_1!K132</f>
        <v>2.0001778618615158</v>
      </c>
      <c r="S132" s="2">
        <f>Model_2!K132</f>
        <v>1.567425357035042</v>
      </c>
      <c r="T132" s="2">
        <f ca="1">Model_3!K132</f>
        <v>1.6955816697603514</v>
      </c>
      <c r="U132" s="2">
        <f>Model_4!K132</f>
        <v>2.3963875539917514</v>
      </c>
      <c r="V132" s="2">
        <f>Model_1!L132</f>
        <v>50.000000000000014</v>
      </c>
      <c r="W132" s="2">
        <f>Model_2!L132</f>
        <v>50</v>
      </c>
      <c r="X132" s="2">
        <f ca="1">Model_3!L132</f>
        <v>50</v>
      </c>
      <c r="Y132" s="2">
        <f>Model_4!L132</f>
        <v>50.000000000000014</v>
      </c>
      <c r="Z132" s="2">
        <f>Model_1!M132</f>
        <v>100.00889309307581</v>
      </c>
      <c r="AA132" s="2">
        <f>Model_2!M132</f>
        <v>78.371267851752108</v>
      </c>
      <c r="AB132" s="2">
        <f ca="1">Model_3!M132</f>
        <v>84.779083488017577</v>
      </c>
      <c r="AC132" s="2">
        <f>Model_4!M132</f>
        <v>119.8193776995876</v>
      </c>
      <c r="AD132" s="2">
        <f>Model_1!N132</f>
        <v>1.0000889309307581</v>
      </c>
      <c r="AE132" s="2">
        <f>Model_2!N132</f>
        <v>0.78371267851752113</v>
      </c>
      <c r="AF132" s="2">
        <f ca="1">Model_3!N132</f>
        <v>0.84779083488017581</v>
      </c>
      <c r="AG132" s="2">
        <f>Model_4!N132</f>
        <v>1.1981937769958761</v>
      </c>
    </row>
    <row r="133" spans="1:33" x14ac:dyDescent="0.3">
      <c r="A133" s="1">
        <v>131</v>
      </c>
      <c r="B133" s="2">
        <f>Model_1!G133</f>
        <v>2.5078246291143635E-3</v>
      </c>
      <c r="C133" s="2">
        <f>Model_2!G133</f>
        <v>0</v>
      </c>
      <c r="D133" s="2">
        <f ca="1">Model_3!G133</f>
        <v>11.024451332756707</v>
      </c>
      <c r="E133" s="2">
        <f>Model_4!G133</f>
        <v>0</v>
      </c>
      <c r="F133" s="2">
        <f>Model_1!H133</f>
        <v>499.95820641654734</v>
      </c>
      <c r="G133" s="2">
        <f>Model_2!H133</f>
        <v>632.46935663714532</v>
      </c>
      <c r="H133" s="2">
        <f ca="1">Model_3!H133</f>
        <v>586.17738745411395</v>
      </c>
      <c r="I133" s="2">
        <f>Model_4!H133</f>
        <v>677.18493785342844</v>
      </c>
      <c r="J133" s="2">
        <f>Model_1!I133</f>
        <v>0</v>
      </c>
      <c r="K133" s="2">
        <f>Model_2!I133</f>
        <v>5.2987742654858137</v>
      </c>
      <c r="L133" s="2">
        <f ca="1">Model_3!I133</f>
        <v>3.4470954981645572</v>
      </c>
      <c r="M133" s="2">
        <f>Model_4!I133</f>
        <v>19.087397514137137</v>
      </c>
      <c r="N133" s="2">
        <f>Model_1!J133</f>
        <v>1000</v>
      </c>
      <c r="O133" s="2">
        <f>Model_2!J133</f>
        <v>1000</v>
      </c>
      <c r="P133" s="2">
        <f>Model_3!J133</f>
        <v>1000</v>
      </c>
      <c r="Q133" s="2">
        <f>Model_4!J133</f>
        <v>400</v>
      </c>
      <c r="R133" s="2">
        <f>Model_1!K133</f>
        <v>2.0001671883086076</v>
      </c>
      <c r="S133" s="2">
        <f>Model_2!K133</f>
        <v>1.5811042693309663</v>
      </c>
      <c r="T133" s="2">
        <f ca="1">Model_3!K133</f>
        <v>1.7059682297592555</v>
      </c>
      <c r="U133" s="2">
        <f>Model_4!K133</f>
        <v>0.5906805920225251</v>
      </c>
      <c r="V133" s="2">
        <f>Model_1!L133</f>
        <v>50</v>
      </c>
      <c r="W133" s="2">
        <f>Model_2!L133</f>
        <v>50</v>
      </c>
      <c r="X133" s="2">
        <f ca="1">Model_3!L133</f>
        <v>50</v>
      </c>
      <c r="Y133" s="2">
        <f>Model_4!L133</f>
        <v>50</v>
      </c>
      <c r="Z133" s="2">
        <f>Model_1!M133</f>
        <v>100.00835941543038</v>
      </c>
      <c r="AA133" s="2">
        <f>Model_2!M133</f>
        <v>79.055213466548309</v>
      </c>
      <c r="AB133" s="2">
        <f ca="1">Model_3!M133</f>
        <v>85.298411487962781</v>
      </c>
      <c r="AC133" s="2">
        <f>Model_4!M133</f>
        <v>29.534029601126257</v>
      </c>
      <c r="AD133" s="2">
        <f>Model_1!N133</f>
        <v>1.0000835941543038</v>
      </c>
      <c r="AE133" s="2">
        <f>Model_2!N133</f>
        <v>0.79055213466548313</v>
      </c>
      <c r="AF133" s="2">
        <f ca="1">Model_3!N133</f>
        <v>0.85298411487962777</v>
      </c>
      <c r="AG133" s="2">
        <f>Model_4!N133</f>
        <v>0.29534029601126255</v>
      </c>
    </row>
    <row r="134" spans="1:33" x14ac:dyDescent="0.3">
      <c r="A134" s="1">
        <v>132</v>
      </c>
      <c r="B134" s="2">
        <f>Model_1!G134</f>
        <v>2.3573307484636707E-3</v>
      </c>
      <c r="C134" s="2">
        <f>Model_2!G134</f>
        <v>13.227361549372336</v>
      </c>
      <c r="D134" s="2">
        <f ca="1">Model_3!G134</f>
        <v>0</v>
      </c>
      <c r="E134" s="2">
        <f>Model_4!G134</f>
        <v>0</v>
      </c>
      <c r="F134" s="2">
        <f>Model_1!H134</f>
        <v>499.96071424117645</v>
      </c>
      <c r="G134" s="2">
        <f>Model_2!H134</f>
        <v>627.17058237165952</v>
      </c>
      <c r="H134" s="2">
        <f ca="1">Model_3!H134</f>
        <v>593.75474328870609</v>
      </c>
      <c r="I134" s="2">
        <f>Model_4!H134</f>
        <v>658.0975403392913</v>
      </c>
      <c r="J134" s="2">
        <f>Model_1!I134</f>
        <v>0</v>
      </c>
      <c r="K134" s="2">
        <f>Model_2!I134</f>
        <v>0</v>
      </c>
      <c r="L134" s="2">
        <f ca="1">Model_3!I134</f>
        <v>0</v>
      </c>
      <c r="M134" s="2">
        <f>Model_4!I134</f>
        <v>18.323901613571653</v>
      </c>
      <c r="N134" s="2">
        <f>Model_1!J134</f>
        <v>1000</v>
      </c>
      <c r="O134" s="2">
        <f>Model_2!J134</f>
        <v>1600</v>
      </c>
      <c r="P134" s="2">
        <f>Model_3!J134</f>
        <v>1600</v>
      </c>
      <c r="Q134" s="2">
        <f>Model_4!J134</f>
        <v>400</v>
      </c>
      <c r="R134" s="2">
        <f>Model_1!K134</f>
        <v>2.0001571553832314</v>
      </c>
      <c r="S134" s="2">
        <f>Model_2!K134</f>
        <v>2.5511400645571807</v>
      </c>
      <c r="T134" s="2">
        <f ca="1">Model_3!K134</f>
        <v>2.6947153148417362</v>
      </c>
      <c r="U134" s="2">
        <f>Model_4!K134</f>
        <v>0.60781263487745973</v>
      </c>
      <c r="V134" s="2">
        <f>Model_1!L134</f>
        <v>49.999999999999993</v>
      </c>
      <c r="W134" s="2">
        <f>Model_2!L134</f>
        <v>50</v>
      </c>
      <c r="X134" s="2">
        <f ca="1">Model_3!L134</f>
        <v>50</v>
      </c>
      <c r="Y134" s="2">
        <f>Model_4!L134</f>
        <v>50</v>
      </c>
      <c r="Z134" s="2">
        <f>Model_1!M134</f>
        <v>100.00785776916155</v>
      </c>
      <c r="AA134" s="2">
        <f>Model_2!M134</f>
        <v>127.55700322785903</v>
      </c>
      <c r="AB134" s="2">
        <f ca="1">Model_3!M134</f>
        <v>134.73576574208681</v>
      </c>
      <c r="AC134" s="2">
        <f>Model_4!M134</f>
        <v>30.390631743872987</v>
      </c>
      <c r="AD134" s="2">
        <f>Model_1!N134</f>
        <v>1.0000785776916155</v>
      </c>
      <c r="AE134" s="2">
        <f>Model_2!N134</f>
        <v>1.2755700322785903</v>
      </c>
      <c r="AF134" s="2">
        <f ca="1">Model_3!N134</f>
        <v>1.3473576574208681</v>
      </c>
      <c r="AG134" s="2">
        <f>Model_4!N134</f>
        <v>0.30390631743872987</v>
      </c>
    </row>
    <row r="135" spans="1:33" x14ac:dyDescent="0.3">
      <c r="A135" s="1">
        <v>133</v>
      </c>
      <c r="B135" s="2">
        <f>Model_1!G135</f>
        <v>2.2158693416485242E-3</v>
      </c>
      <c r="C135" s="2">
        <f>Model_2!G135</f>
        <v>0</v>
      </c>
      <c r="D135" s="2">
        <f ca="1">Model_3!G135</f>
        <v>0</v>
      </c>
      <c r="E135" s="2">
        <f>Model_4!G135</f>
        <v>0</v>
      </c>
      <c r="F135" s="2">
        <f>Model_1!H135</f>
        <v>499.9630715719249</v>
      </c>
      <c r="G135" s="2">
        <f>Model_2!H135</f>
        <v>640.39794392103181</v>
      </c>
      <c r="H135" s="2">
        <f ca="1">Model_3!H135</f>
        <v>593.75474328870609</v>
      </c>
      <c r="I135" s="2">
        <f>Model_4!H135</f>
        <v>639.77363872571959</v>
      </c>
      <c r="J135" s="2">
        <f>Model_1!I135</f>
        <v>0</v>
      </c>
      <c r="K135" s="2">
        <f>Model_2!I135</f>
        <v>17.615917756841274</v>
      </c>
      <c r="L135" s="2">
        <f ca="1">Model_3!I135</f>
        <v>15.750189731548243</v>
      </c>
      <c r="M135" s="2">
        <f>Model_4!I135</f>
        <v>17.590945549028785</v>
      </c>
      <c r="N135" s="2">
        <f>Model_1!J135</f>
        <v>1000</v>
      </c>
      <c r="O135" s="2">
        <f>Model_2!J135</f>
        <v>400</v>
      </c>
      <c r="P135" s="2">
        <f>Model_3!J135</f>
        <v>400</v>
      </c>
      <c r="Q135" s="2">
        <f>Model_4!J135</f>
        <v>400</v>
      </c>
      <c r="R135" s="2">
        <f>Model_1!K135</f>
        <v>2.0001477246227766</v>
      </c>
      <c r="S135" s="2">
        <f>Model_2!K135</f>
        <v>0.62461162437667739</v>
      </c>
      <c r="T135" s="2">
        <f ca="1">Model_3!K135</f>
        <v>0.67367882871043405</v>
      </c>
      <c r="U135" s="2">
        <f>Model_4!K135</f>
        <v>0.62522113414473757</v>
      </c>
      <c r="V135" s="2">
        <f>Model_1!L135</f>
        <v>50</v>
      </c>
      <c r="W135" s="2">
        <f>Model_2!L135</f>
        <v>49.999999999999993</v>
      </c>
      <c r="X135" s="2">
        <f ca="1">Model_3!L135</f>
        <v>50</v>
      </c>
      <c r="Y135" s="2">
        <f>Model_4!L135</f>
        <v>50</v>
      </c>
      <c r="Z135" s="2">
        <f>Model_1!M135</f>
        <v>100.00738623113882</v>
      </c>
      <c r="AA135" s="2">
        <f>Model_2!M135</f>
        <v>31.230581218833866</v>
      </c>
      <c r="AB135" s="2">
        <f ca="1">Model_3!M135</f>
        <v>33.683941435521703</v>
      </c>
      <c r="AC135" s="2">
        <f>Model_4!M135</f>
        <v>31.261056707236879</v>
      </c>
      <c r="AD135" s="2">
        <f>Model_1!N135</f>
        <v>1.0000738623113883</v>
      </c>
      <c r="AE135" s="2">
        <f>Model_2!N135</f>
        <v>0.31230581218833864</v>
      </c>
      <c r="AF135" s="2">
        <f ca="1">Model_3!N135</f>
        <v>0.33683941435521703</v>
      </c>
      <c r="AG135" s="2">
        <f>Model_4!N135</f>
        <v>0.31261056707236878</v>
      </c>
    </row>
    <row r="136" spans="1:33" x14ac:dyDescent="0.3">
      <c r="A136" s="1">
        <v>134</v>
      </c>
      <c r="B136" s="2">
        <f>Model_1!G136</f>
        <v>2.082898129467381E-3</v>
      </c>
      <c r="C136" s="2">
        <f>Model_2!G136</f>
        <v>0</v>
      </c>
      <c r="D136" s="2">
        <f ca="1">Model_3!G136</f>
        <v>10.693960074248443</v>
      </c>
      <c r="E136" s="2">
        <f>Model_4!G136</f>
        <v>0</v>
      </c>
      <c r="F136" s="2">
        <f>Model_1!H136</f>
        <v>499.96528744126653</v>
      </c>
      <c r="G136" s="2">
        <f>Model_2!H136</f>
        <v>622.78202616419048</v>
      </c>
      <c r="H136" s="2">
        <f ca="1">Model_3!H136</f>
        <v>578.00455355715781</v>
      </c>
      <c r="I136" s="2">
        <f>Model_4!H136</f>
        <v>622.1826931766908</v>
      </c>
      <c r="J136" s="2">
        <f>Model_1!I136</f>
        <v>0</v>
      </c>
      <c r="K136" s="2">
        <f>Model_2!I136</f>
        <v>4.9112810465676207</v>
      </c>
      <c r="L136" s="2">
        <f ca="1">Model_3!I136</f>
        <v>3.1201821422863127</v>
      </c>
      <c r="M136" s="2">
        <f>Model_4!I136</f>
        <v>16.887307727067633</v>
      </c>
      <c r="N136" s="2">
        <f>Model_1!J136</f>
        <v>1000</v>
      </c>
      <c r="O136" s="2">
        <f>Model_2!J136</f>
        <v>1000</v>
      </c>
      <c r="P136" s="2">
        <f>Model_3!J136</f>
        <v>1000</v>
      </c>
      <c r="Q136" s="2">
        <f>Model_4!J136</f>
        <v>400</v>
      </c>
      <c r="R136" s="2">
        <f>Model_1!K136</f>
        <v>2.0001388598752969</v>
      </c>
      <c r="S136" s="2">
        <f>Model_2!K136</f>
        <v>1.6056982346763482</v>
      </c>
      <c r="T136" s="2">
        <f ca="1">Model_3!K136</f>
        <v>1.7300901763589858</v>
      </c>
      <c r="U136" s="2">
        <f>Model_4!K136</f>
        <v>0.64289798540957788</v>
      </c>
      <c r="V136" s="2">
        <f>Model_1!L136</f>
        <v>50.000000000000014</v>
      </c>
      <c r="W136" s="2">
        <f>Model_2!L136</f>
        <v>50</v>
      </c>
      <c r="X136" s="2">
        <f ca="1">Model_3!L136</f>
        <v>50</v>
      </c>
      <c r="Y136" s="2">
        <f>Model_4!L136</f>
        <v>49.999999999999993</v>
      </c>
      <c r="Z136" s="2">
        <f>Model_1!M136</f>
        <v>100.00694299376488</v>
      </c>
      <c r="AA136" s="2">
        <f>Model_2!M136</f>
        <v>80.28491173381741</v>
      </c>
      <c r="AB136" s="2">
        <f ca="1">Model_3!M136</f>
        <v>86.504508817949286</v>
      </c>
      <c r="AC136" s="2">
        <f>Model_4!M136</f>
        <v>32.144899270478888</v>
      </c>
      <c r="AD136" s="2">
        <f>Model_1!N136</f>
        <v>1.0000694299376489</v>
      </c>
      <c r="AE136" s="2">
        <f>Model_2!N136</f>
        <v>0.8028491173381741</v>
      </c>
      <c r="AF136" s="2">
        <f ca="1">Model_3!N136</f>
        <v>0.86504508817949288</v>
      </c>
      <c r="AG136" s="2">
        <f>Model_4!N136</f>
        <v>0.32144899270478888</v>
      </c>
    </row>
    <row r="137" spans="1:33" x14ac:dyDescent="0.3">
      <c r="A137" s="1">
        <v>135</v>
      </c>
      <c r="B137" s="2">
        <f>Model_1!G137</f>
        <v>1.9579074079478787E-3</v>
      </c>
      <c r="C137" s="2">
        <f>Model_2!G137</f>
        <v>14.148920795222089</v>
      </c>
      <c r="D137" s="2">
        <f ca="1">Model_3!G137</f>
        <v>0</v>
      </c>
      <c r="E137" s="2">
        <f>Model_4!G137</f>
        <v>0</v>
      </c>
      <c r="F137" s="2">
        <f>Model_1!H137</f>
        <v>499.96737033939598</v>
      </c>
      <c r="G137" s="2">
        <f>Model_2!H137</f>
        <v>617.87074511762285</v>
      </c>
      <c r="H137" s="2">
        <f ca="1">Model_3!H137</f>
        <v>585.57833148911993</v>
      </c>
      <c r="I137" s="2">
        <f>Model_4!H137</f>
        <v>605.29538544962315</v>
      </c>
      <c r="J137" s="2">
        <f>Model_1!I137</f>
        <v>0</v>
      </c>
      <c r="K137" s="2">
        <f>Model_2!I137</f>
        <v>0</v>
      </c>
      <c r="L137" s="2">
        <f ca="1">Model_3!I137</f>
        <v>0</v>
      </c>
      <c r="M137" s="2">
        <f>Model_4!I137</f>
        <v>16.211815417984923</v>
      </c>
      <c r="N137" s="2">
        <f>Model_1!J137</f>
        <v>1000</v>
      </c>
      <c r="O137" s="2">
        <f>Model_2!J137</f>
        <v>1600</v>
      </c>
      <c r="P137" s="2">
        <f>Model_3!J137</f>
        <v>1600</v>
      </c>
      <c r="Q137" s="2">
        <f>Model_4!J137</f>
        <v>400</v>
      </c>
      <c r="R137" s="2">
        <f>Model_1!K137</f>
        <v>2.0001305271605299</v>
      </c>
      <c r="S137" s="2">
        <f>Model_2!K137</f>
        <v>2.5895383664675871</v>
      </c>
      <c r="T137" s="2">
        <f ca="1">Model_3!K137</f>
        <v>2.7323415399118609</v>
      </c>
      <c r="U137" s="2">
        <f>Model_4!K137</f>
        <v>0.66083437874365014</v>
      </c>
      <c r="V137" s="2">
        <f>Model_1!L137</f>
        <v>50</v>
      </c>
      <c r="W137" s="2">
        <f>Model_2!L137</f>
        <v>50</v>
      </c>
      <c r="X137" s="2">
        <f ca="1">Model_3!L137</f>
        <v>50</v>
      </c>
      <c r="Y137" s="2">
        <f>Model_4!L137</f>
        <v>50.000000000000014</v>
      </c>
      <c r="Z137" s="2">
        <f>Model_1!M137</f>
        <v>100.00652635802649</v>
      </c>
      <c r="AA137" s="2">
        <f>Model_2!M137</f>
        <v>129.47691832337935</v>
      </c>
      <c r="AB137" s="2">
        <f ca="1">Model_3!M137</f>
        <v>136.61707699559304</v>
      </c>
      <c r="AC137" s="2">
        <f>Model_4!M137</f>
        <v>33.041718937182516</v>
      </c>
      <c r="AD137" s="2">
        <f>Model_1!N137</f>
        <v>1.0000652635802649</v>
      </c>
      <c r="AE137" s="2">
        <f>Model_2!N137</f>
        <v>1.2947691832337935</v>
      </c>
      <c r="AF137" s="2">
        <f ca="1">Model_3!N137</f>
        <v>1.3661707699559305</v>
      </c>
      <c r="AG137" s="2">
        <f>Model_4!N137</f>
        <v>0.33041718937182518</v>
      </c>
    </row>
    <row r="138" spans="1:33" x14ac:dyDescent="0.3">
      <c r="A138" s="1">
        <v>136</v>
      </c>
      <c r="B138" s="2">
        <f>Model_1!G138</f>
        <v>1.8404180894604494E-3</v>
      </c>
      <c r="C138" s="2">
        <f>Model_2!G138</f>
        <v>0</v>
      </c>
      <c r="D138" s="2">
        <f ca="1">Model_3!G138</f>
        <v>0</v>
      </c>
      <c r="E138" s="2">
        <f>Model_4!G138</f>
        <v>0</v>
      </c>
      <c r="F138" s="2">
        <f>Model_1!H138</f>
        <v>499.96932824680391</v>
      </c>
      <c r="G138" s="2">
        <f>Model_2!H138</f>
        <v>632.01966591284497</v>
      </c>
      <c r="H138" s="2">
        <f ca="1">Model_3!H138</f>
        <v>585.57833148911993</v>
      </c>
      <c r="I138" s="2">
        <f>Model_4!H138</f>
        <v>589.08357003163826</v>
      </c>
      <c r="J138" s="2">
        <f>Model_1!I138</f>
        <v>0</v>
      </c>
      <c r="K138" s="2">
        <f>Model_2!I138</f>
        <v>5.2807866365137954</v>
      </c>
      <c r="L138" s="2">
        <f ca="1">Model_3!I138</f>
        <v>3.4231332595647932</v>
      </c>
      <c r="M138" s="2">
        <f>Model_4!I138</f>
        <v>15.563342801265531</v>
      </c>
      <c r="N138" s="2">
        <f>Model_1!J138</f>
        <v>1000</v>
      </c>
      <c r="O138" s="2">
        <f>Model_2!J138</f>
        <v>1000</v>
      </c>
      <c r="P138" s="2">
        <f>Model_3!J138</f>
        <v>1000</v>
      </c>
      <c r="Q138" s="2">
        <f>Model_4!J138</f>
        <v>400</v>
      </c>
      <c r="R138" s="2">
        <f>Model_1!K138</f>
        <v>2.0001226945392978</v>
      </c>
      <c r="S138" s="2">
        <f>Model_2!K138</f>
        <v>1.5822292468631811</v>
      </c>
      <c r="T138" s="2">
        <f ca="1">Model_3!K138</f>
        <v>1.7077134624449128</v>
      </c>
      <c r="U138" s="2">
        <f>Model_4!K138</f>
        <v>0.67902080511007457</v>
      </c>
      <c r="V138" s="2">
        <f>Model_1!L138</f>
        <v>49.999999999999993</v>
      </c>
      <c r="W138" s="2">
        <f>Model_2!L138</f>
        <v>50</v>
      </c>
      <c r="X138" s="2">
        <f ca="1">Model_3!L138</f>
        <v>50.000000000000014</v>
      </c>
      <c r="Y138" s="2">
        <f>Model_4!L138</f>
        <v>50</v>
      </c>
      <c r="Z138" s="2">
        <f>Model_1!M138</f>
        <v>100.00613472696487</v>
      </c>
      <c r="AA138" s="2">
        <f>Model_2!M138</f>
        <v>79.111462343159062</v>
      </c>
      <c r="AB138" s="2">
        <f ca="1">Model_3!M138</f>
        <v>85.385673122245663</v>
      </c>
      <c r="AC138" s="2">
        <f>Model_4!M138</f>
        <v>33.951040255503727</v>
      </c>
      <c r="AD138" s="2">
        <f>Model_1!N138</f>
        <v>1.0000613472696487</v>
      </c>
      <c r="AE138" s="2">
        <f>Model_2!N138</f>
        <v>0.79111462343159067</v>
      </c>
      <c r="AF138" s="2">
        <f ca="1">Model_3!N138</f>
        <v>0.85385673122245664</v>
      </c>
      <c r="AG138" s="2">
        <f>Model_4!N138</f>
        <v>0.33951040255503728</v>
      </c>
    </row>
    <row r="139" spans="1:33" x14ac:dyDescent="0.3">
      <c r="A139" s="1">
        <v>137</v>
      </c>
      <c r="B139" s="2">
        <f>Model_1!G139</f>
        <v>1.7299798616576822E-3</v>
      </c>
      <c r="C139" s="2">
        <f>Model_2!G139</f>
        <v>0</v>
      </c>
      <c r="D139" s="2">
        <f ca="1">Model_3!G139</f>
        <v>10.420729722626042</v>
      </c>
      <c r="E139" s="2">
        <f>Model_4!G139</f>
        <v>0</v>
      </c>
      <c r="F139" s="2">
        <f>Model_1!H139</f>
        <v>499.97116866489336</v>
      </c>
      <c r="G139" s="2">
        <f>Model_2!H139</f>
        <v>626.7388792763312</v>
      </c>
      <c r="H139" s="2">
        <f ca="1">Model_3!H139</f>
        <v>582.15519822955514</v>
      </c>
      <c r="I139" s="2">
        <f>Model_4!H139</f>
        <v>573.52022723037271</v>
      </c>
      <c r="J139" s="2">
        <f>Model_1!I139</f>
        <v>0</v>
      </c>
      <c r="K139" s="2">
        <f>Model_2!I139</f>
        <v>5.0695551710532483</v>
      </c>
      <c r="L139" s="2">
        <f ca="1">Model_3!I139</f>
        <v>3.2862079291822019</v>
      </c>
      <c r="M139" s="2">
        <f>Model_4!I139</f>
        <v>14.940809089214909</v>
      </c>
      <c r="N139" s="2">
        <f>Model_1!J139</f>
        <v>1000</v>
      </c>
      <c r="O139" s="2">
        <f>Model_2!J139</f>
        <v>1000</v>
      </c>
      <c r="P139" s="2">
        <f>Model_3!J139</f>
        <v>1000</v>
      </c>
      <c r="Q139" s="2">
        <f>Model_4!J139</f>
        <v>400</v>
      </c>
      <c r="R139" s="2">
        <f>Model_1!K139</f>
        <v>2.0001153319907772</v>
      </c>
      <c r="S139" s="2">
        <f>Model_2!K139</f>
        <v>1.5955608197702009</v>
      </c>
      <c r="T139" s="2">
        <f ca="1">Model_3!K139</f>
        <v>1.7177549956458182</v>
      </c>
      <c r="U139" s="2">
        <f>Model_4!K139</f>
        <v>0.69744706639496989</v>
      </c>
      <c r="V139" s="2">
        <f>Model_1!L139</f>
        <v>50</v>
      </c>
      <c r="W139" s="2">
        <f>Model_2!L139</f>
        <v>50</v>
      </c>
      <c r="X139" s="2">
        <f ca="1">Model_3!L139</f>
        <v>50.000000000000014</v>
      </c>
      <c r="Y139" s="2">
        <f>Model_4!L139</f>
        <v>50</v>
      </c>
      <c r="Z139" s="2">
        <f>Model_1!M139</f>
        <v>100.00576659953886</v>
      </c>
      <c r="AA139" s="2">
        <f>Model_2!M139</f>
        <v>79.778040988510043</v>
      </c>
      <c r="AB139" s="2">
        <f ca="1">Model_3!M139</f>
        <v>85.887749782290939</v>
      </c>
      <c r="AC139" s="2">
        <f>Model_4!M139</f>
        <v>34.872353319748498</v>
      </c>
      <c r="AD139" s="2">
        <f>Model_1!N139</f>
        <v>1.0000576659953886</v>
      </c>
      <c r="AE139" s="2">
        <f>Model_2!N139</f>
        <v>0.79778040988510046</v>
      </c>
      <c r="AF139" s="2">
        <f ca="1">Model_3!N139</f>
        <v>0.85887749782290934</v>
      </c>
      <c r="AG139" s="2">
        <f>Model_4!N139</f>
        <v>0.348723533197485</v>
      </c>
    </row>
    <row r="140" spans="1:33" x14ac:dyDescent="0.3">
      <c r="A140" s="1">
        <v>138</v>
      </c>
      <c r="B140" s="2">
        <f>Model_1!G140</f>
        <v>1.6261694574914998E-3</v>
      </c>
      <c r="C140" s="2">
        <f>Model_2!G140</f>
        <v>13.769172952624359</v>
      </c>
      <c r="D140" s="2">
        <f ca="1">Model_3!G140</f>
        <v>0</v>
      </c>
      <c r="E140" s="2">
        <f>Model_4!G140</f>
        <v>0</v>
      </c>
      <c r="F140" s="2">
        <f>Model_1!H140</f>
        <v>499.97289864475499</v>
      </c>
      <c r="G140" s="2">
        <f>Model_2!H140</f>
        <v>621.66932410527795</v>
      </c>
      <c r="H140" s="2">
        <f ca="1">Model_3!H140</f>
        <v>589.28972002299895</v>
      </c>
      <c r="I140" s="2">
        <f>Model_4!H140</f>
        <v>558.57941814115782</v>
      </c>
      <c r="J140" s="2">
        <f>Model_1!I140</f>
        <v>0</v>
      </c>
      <c r="K140" s="2">
        <f>Model_2!I140</f>
        <v>0</v>
      </c>
      <c r="L140" s="2">
        <f ca="1">Model_3!I140</f>
        <v>0</v>
      </c>
      <c r="M140" s="2">
        <f>Model_4!I140</f>
        <v>14.343176725646309</v>
      </c>
      <c r="N140" s="2">
        <f>Model_1!J140</f>
        <v>1000</v>
      </c>
      <c r="O140" s="2">
        <f>Model_2!J140</f>
        <v>1600</v>
      </c>
      <c r="P140" s="2">
        <f>Model_3!J140</f>
        <v>1600</v>
      </c>
      <c r="Q140" s="2">
        <f>Model_4!J140</f>
        <v>400</v>
      </c>
      <c r="R140" s="2">
        <f>Model_1!K140</f>
        <v>2.0001084112971661</v>
      </c>
      <c r="S140" s="2">
        <f>Model_2!K140</f>
        <v>2.5737155396926816</v>
      </c>
      <c r="T140" s="2">
        <f ca="1">Model_3!K140</f>
        <v>2.715133058722889</v>
      </c>
      <c r="U140" s="2">
        <f>Model_4!K140</f>
        <v>0.7161022891447042</v>
      </c>
      <c r="V140" s="2">
        <f>Model_1!L140</f>
        <v>50</v>
      </c>
      <c r="W140" s="2">
        <f>Model_2!L140</f>
        <v>50</v>
      </c>
      <c r="X140" s="2">
        <f ca="1">Model_3!L140</f>
        <v>50</v>
      </c>
      <c r="Y140" s="2">
        <f>Model_4!L140</f>
        <v>50</v>
      </c>
      <c r="Z140" s="2">
        <f>Model_1!M140</f>
        <v>100.0054205648583</v>
      </c>
      <c r="AA140" s="2">
        <f>Model_2!M140</f>
        <v>128.68577698463409</v>
      </c>
      <c r="AB140" s="2">
        <f ca="1">Model_3!M140</f>
        <v>135.75665293614446</v>
      </c>
      <c r="AC140" s="2">
        <f>Model_4!M140</f>
        <v>35.805114457235213</v>
      </c>
      <c r="AD140" s="2">
        <f>Model_1!N140</f>
        <v>1.000054205648583</v>
      </c>
      <c r="AE140" s="2">
        <f>Model_2!N140</f>
        <v>1.2868577698463408</v>
      </c>
      <c r="AF140" s="2">
        <f ca="1">Model_3!N140</f>
        <v>1.3575665293614447</v>
      </c>
      <c r="AG140" s="2">
        <f>Model_4!N140</f>
        <v>0.35805114457235215</v>
      </c>
    </row>
    <row r="141" spans="1:33" x14ac:dyDescent="0.3">
      <c r="A141" s="1">
        <v>139</v>
      </c>
      <c r="B141" s="2">
        <f>Model_1!G141</f>
        <v>1.5285890294336468E-3</v>
      </c>
      <c r="C141" s="2">
        <f>Model_2!G141</f>
        <v>0</v>
      </c>
      <c r="D141" s="2">
        <f ca="1">Model_3!G141</f>
        <v>0</v>
      </c>
      <c r="E141" s="2">
        <f>Model_4!G141</f>
        <v>0</v>
      </c>
      <c r="F141" s="2">
        <f>Model_1!H141</f>
        <v>499.97452481421249</v>
      </c>
      <c r="G141" s="2">
        <f>Model_2!H141</f>
        <v>635.43849705790228</v>
      </c>
      <c r="H141" s="2">
        <f ca="1">Model_3!H141</f>
        <v>589.28972002299895</v>
      </c>
      <c r="I141" s="2">
        <f>Model_4!H141</f>
        <v>544.23624141551147</v>
      </c>
      <c r="J141" s="2">
        <f>Model_1!I141</f>
        <v>0</v>
      </c>
      <c r="K141" s="2">
        <f>Model_2!I141</f>
        <v>5.417539882316091</v>
      </c>
      <c r="L141" s="2">
        <f ca="1">Model_3!I141</f>
        <v>3.5715888009199568</v>
      </c>
      <c r="M141" s="2">
        <f>Model_4!I141</f>
        <v>13.769449656620457</v>
      </c>
      <c r="N141" s="2">
        <f>Model_1!J141</f>
        <v>1000</v>
      </c>
      <c r="O141" s="2">
        <f>Model_2!J141</f>
        <v>1000</v>
      </c>
      <c r="P141" s="2">
        <f>Model_3!J141</f>
        <v>1000</v>
      </c>
      <c r="Q141" s="2">
        <f>Model_4!J141</f>
        <v>400</v>
      </c>
      <c r="R141" s="2">
        <f>Model_1!K141</f>
        <v>2.0001019059352951</v>
      </c>
      <c r="S141" s="2">
        <f>Model_2!K141</f>
        <v>1.5737164251615656</v>
      </c>
      <c r="T141" s="2">
        <f ca="1">Model_3!K141</f>
        <v>1.6969581617018057</v>
      </c>
      <c r="U141" s="2">
        <f>Model_4!K141</f>
        <v>0.73497494205757874</v>
      </c>
      <c r="V141" s="2">
        <f>Model_1!L141</f>
        <v>50.000000000000014</v>
      </c>
      <c r="W141" s="2">
        <f>Model_2!L141</f>
        <v>50</v>
      </c>
      <c r="X141" s="2">
        <f ca="1">Model_3!L141</f>
        <v>50</v>
      </c>
      <c r="Y141" s="2">
        <f>Model_4!L141</f>
        <v>50</v>
      </c>
      <c r="Z141" s="2">
        <f>Model_1!M141</f>
        <v>100.00509529676478</v>
      </c>
      <c r="AA141" s="2">
        <f>Model_2!M141</f>
        <v>78.685821258078278</v>
      </c>
      <c r="AB141" s="2">
        <f ca="1">Model_3!M141</f>
        <v>84.847908085090282</v>
      </c>
      <c r="AC141" s="2">
        <f>Model_4!M141</f>
        <v>36.748747102878937</v>
      </c>
      <c r="AD141" s="2">
        <f>Model_1!N141</f>
        <v>1.0000509529676478</v>
      </c>
      <c r="AE141" s="2">
        <f>Model_2!N141</f>
        <v>0.78685821258078281</v>
      </c>
      <c r="AF141" s="2">
        <f ca="1">Model_3!N141</f>
        <v>0.84847908085090284</v>
      </c>
      <c r="AG141" s="2">
        <f>Model_4!N141</f>
        <v>0.36748747102878937</v>
      </c>
    </row>
    <row r="142" spans="1:33" x14ac:dyDescent="0.3">
      <c r="A142" s="1">
        <v>140</v>
      </c>
      <c r="B142" s="2">
        <f>Model_1!G142</f>
        <v>1.4368646215245917E-3</v>
      </c>
      <c r="C142" s="2">
        <f>Model_2!G142</f>
        <v>0</v>
      </c>
      <c r="D142" s="2">
        <f ca="1">Model_3!G142</f>
        <v>4.3940492394711654</v>
      </c>
      <c r="E142" s="2">
        <f>Model_4!G142</f>
        <v>0</v>
      </c>
      <c r="F142" s="2">
        <f>Model_1!H142</f>
        <v>499.97605340324191</v>
      </c>
      <c r="G142" s="2">
        <f>Model_2!H142</f>
        <v>630.0209571755862</v>
      </c>
      <c r="H142" s="2">
        <f ca="1">Model_3!H142</f>
        <v>585.71813122207902</v>
      </c>
      <c r="I142" s="2">
        <f>Model_4!H142</f>
        <v>530.46679175889096</v>
      </c>
      <c r="J142" s="2">
        <f>Model_1!I142</f>
        <v>0</v>
      </c>
      <c r="K142" s="2">
        <f>Model_2!I142</f>
        <v>17.200838287023444</v>
      </c>
      <c r="L142" s="2">
        <f ca="1">Model_3!I142</f>
        <v>15.428725248883161</v>
      </c>
      <c r="M142" s="2">
        <f>Model_4!I142</f>
        <v>13.21867167035564</v>
      </c>
      <c r="N142" s="2">
        <f>Model_1!J142</f>
        <v>1000</v>
      </c>
      <c r="O142" s="2">
        <f>Model_2!J142</f>
        <v>400</v>
      </c>
      <c r="P142" s="2">
        <f>Model_3!J142</f>
        <v>400</v>
      </c>
      <c r="Q142" s="2">
        <f>Model_4!J142</f>
        <v>400</v>
      </c>
      <c r="R142" s="2">
        <f>Model_1!K142</f>
        <v>2.0000957909747679</v>
      </c>
      <c r="S142" s="2">
        <f>Model_2!K142</f>
        <v>0.63489951476093576</v>
      </c>
      <c r="T142" s="2">
        <f ca="1">Model_3!K142</f>
        <v>0.68292234554087461</v>
      </c>
      <c r="U142" s="2">
        <f>Model_4!K142</f>
        <v>0.75405285724616855</v>
      </c>
      <c r="V142" s="2">
        <f>Model_1!L142</f>
        <v>50.000000000000014</v>
      </c>
      <c r="W142" s="2">
        <f>Model_2!L142</f>
        <v>50.000000000000014</v>
      </c>
      <c r="X142" s="2">
        <f ca="1">Model_3!L142</f>
        <v>50</v>
      </c>
      <c r="Y142" s="2">
        <f>Model_4!L142</f>
        <v>50</v>
      </c>
      <c r="Z142" s="2">
        <f>Model_1!M142</f>
        <v>100.00478954873842</v>
      </c>
      <c r="AA142" s="2">
        <f>Model_2!M142</f>
        <v>31.744975738046797</v>
      </c>
      <c r="AB142" s="2">
        <f ca="1">Model_3!M142</f>
        <v>34.146117277043729</v>
      </c>
      <c r="AC142" s="2">
        <f>Model_4!M142</f>
        <v>37.70264286230843</v>
      </c>
      <c r="AD142" s="2">
        <f>Model_1!N142</f>
        <v>1.0000478954873842</v>
      </c>
      <c r="AE142" s="2">
        <f>Model_2!N142</f>
        <v>0.31744975738046799</v>
      </c>
      <c r="AF142" s="2">
        <f ca="1">Model_3!N142</f>
        <v>0.3414611727704373</v>
      </c>
      <c r="AG142" s="2">
        <f>Model_4!N142</f>
        <v>0.37702642862308428</v>
      </c>
    </row>
    <row r="143" spans="1:33" x14ac:dyDescent="0.3">
      <c r="A143" s="1">
        <v>141</v>
      </c>
      <c r="B143" s="2">
        <f>Model_1!G143</f>
        <v>1.350644733495443E-3</v>
      </c>
      <c r="C143" s="2">
        <f>Model_2!G143</f>
        <v>14.661128145798987</v>
      </c>
      <c r="D143" s="2">
        <f ca="1">Model_3!G143</f>
        <v>0</v>
      </c>
      <c r="E143" s="2">
        <f>Model_4!G143</f>
        <v>26.239032504221051</v>
      </c>
      <c r="F143" s="2">
        <f>Model_1!H143</f>
        <v>499.97749026786346</v>
      </c>
      <c r="G143" s="2">
        <f>Model_2!H143</f>
        <v>612.82011888856277</v>
      </c>
      <c r="H143" s="2">
        <f ca="1">Model_3!H143</f>
        <v>574.68345521266701</v>
      </c>
      <c r="I143" s="2">
        <f>Model_4!H143</f>
        <v>517.2481200885353</v>
      </c>
      <c r="J143" s="2">
        <f>Model_1!I143</f>
        <v>0</v>
      </c>
      <c r="K143" s="2">
        <f>Model_2!I143</f>
        <v>0</v>
      </c>
      <c r="L143" s="2">
        <f ca="1">Model_3!I143</f>
        <v>0</v>
      </c>
      <c r="M143" s="2">
        <f>Model_4!I143</f>
        <v>0</v>
      </c>
      <c r="N143" s="2">
        <f>Model_1!J143</f>
        <v>1000</v>
      </c>
      <c r="O143" s="2">
        <f>Model_2!J143</f>
        <v>1600</v>
      </c>
      <c r="P143" s="2">
        <f>Model_3!J143</f>
        <v>1600</v>
      </c>
      <c r="Q143" s="2">
        <f>Model_4!J143</f>
        <v>1600</v>
      </c>
      <c r="R143" s="2">
        <f>Model_1!K143</f>
        <v>2.000090042982233</v>
      </c>
      <c r="S143" s="2">
        <f>Model_2!K143</f>
        <v>2.6108803394082911</v>
      </c>
      <c r="T143" s="2">
        <f ca="1">Model_3!K143</f>
        <v>2.7841414007784597</v>
      </c>
      <c r="U143" s="2">
        <f>Model_4!K143</f>
        <v>3</v>
      </c>
      <c r="V143" s="2">
        <f>Model_1!L143</f>
        <v>50</v>
      </c>
      <c r="W143" s="2">
        <f>Model_2!L143</f>
        <v>50</v>
      </c>
      <c r="X143" s="2">
        <f ca="1">Model_3!L143</f>
        <v>50</v>
      </c>
      <c r="Y143" s="2">
        <f>Model_4!L143</f>
        <v>51.554883683486842</v>
      </c>
      <c r="Z143" s="2">
        <f>Model_1!M143</f>
        <v>100.00450214911166</v>
      </c>
      <c r="AA143" s="2">
        <f>Model_2!M143</f>
        <v>130.54401697041456</v>
      </c>
      <c r="AB143" s="2">
        <f ca="1">Model_3!M143</f>
        <v>139.20707003892298</v>
      </c>
      <c r="AC143" s="2">
        <f>Model_4!M143</f>
        <v>154.66465105046052</v>
      </c>
      <c r="AD143" s="2">
        <f>Model_1!N143</f>
        <v>1.0000450214911165</v>
      </c>
      <c r="AE143" s="2">
        <f>Model_2!N143</f>
        <v>1.3054401697041456</v>
      </c>
      <c r="AF143" s="2">
        <f ca="1">Model_3!N143</f>
        <v>1.3920707003892299</v>
      </c>
      <c r="AG143" s="2">
        <f>Model_4!N143</f>
        <v>1.5466465105046052</v>
      </c>
    </row>
    <row r="144" spans="1:33" x14ac:dyDescent="0.3">
      <c r="A144" s="1">
        <v>142</v>
      </c>
      <c r="B144" s="2">
        <f>Model_1!G144</f>
        <v>1.2695989712940836E-3</v>
      </c>
      <c r="C144" s="2">
        <f>Model_2!G144</f>
        <v>0</v>
      </c>
      <c r="D144" s="2">
        <f ca="1">Model_3!G144</f>
        <v>0</v>
      </c>
      <c r="E144" s="2">
        <f>Model_4!G144</f>
        <v>22.654844032299941</v>
      </c>
      <c r="F144" s="2">
        <f>Model_1!H144</f>
        <v>499.97884091259698</v>
      </c>
      <c r="G144" s="2">
        <f>Model_2!H144</f>
        <v>627.48124703436179</v>
      </c>
      <c r="H144" s="2">
        <f ca="1">Model_3!H144</f>
        <v>574.68345521266701</v>
      </c>
      <c r="I144" s="2">
        <f>Model_4!H144</f>
        <v>543.48715259275639</v>
      </c>
      <c r="J144" s="2">
        <f>Model_1!I144</f>
        <v>0</v>
      </c>
      <c r="K144" s="2">
        <f>Model_2!I144</f>
        <v>5.0992498813744707</v>
      </c>
      <c r="L144" s="2">
        <f ca="1">Model_3!I144</f>
        <v>2.987338208506682</v>
      </c>
      <c r="M144" s="2">
        <f>Model_4!I144</f>
        <v>0</v>
      </c>
      <c r="N144" s="2">
        <f>Model_1!J144</f>
        <v>1000</v>
      </c>
      <c r="O144" s="2">
        <f>Model_2!J144</f>
        <v>1000</v>
      </c>
      <c r="P144" s="2">
        <f>Model_3!J144</f>
        <v>1000</v>
      </c>
      <c r="Q144" s="2">
        <f>Model_4!J144</f>
        <v>1600</v>
      </c>
      <c r="R144" s="2">
        <f>Model_1!K144</f>
        <v>2.0000846399314196</v>
      </c>
      <c r="S144" s="2">
        <f>Model_2!K144</f>
        <v>1.5936731252547514</v>
      </c>
      <c r="T144" s="2">
        <f ca="1">Model_3!K144</f>
        <v>1.7400883754865373</v>
      </c>
      <c r="U144" s="2">
        <f>Model_4!K144</f>
        <v>2.9439518346791642</v>
      </c>
      <c r="V144" s="2">
        <f>Model_1!L144</f>
        <v>50</v>
      </c>
      <c r="W144" s="2">
        <f>Model_2!L144</f>
        <v>50</v>
      </c>
      <c r="X144" s="2">
        <f ca="1">Model_3!L144</f>
        <v>50</v>
      </c>
      <c r="Y144" s="2">
        <f>Model_4!L144</f>
        <v>50</v>
      </c>
      <c r="Z144" s="2">
        <f>Model_1!M144</f>
        <v>100.00423199657098</v>
      </c>
      <c r="AA144" s="2">
        <f>Model_2!M144</f>
        <v>79.683656262737571</v>
      </c>
      <c r="AB144" s="2">
        <f ca="1">Model_3!M144</f>
        <v>87.004418774326865</v>
      </c>
      <c r="AC144" s="2">
        <f>Model_4!M144</f>
        <v>147.19759173395821</v>
      </c>
      <c r="AD144" s="2">
        <f>Model_1!N144</f>
        <v>1.0000423199657098</v>
      </c>
      <c r="AE144" s="2">
        <f>Model_2!N144</f>
        <v>0.79683656262737568</v>
      </c>
      <c r="AF144" s="2">
        <f ca="1">Model_3!N144</f>
        <v>0.87004418774326864</v>
      </c>
      <c r="AG144" s="2">
        <f>Model_4!N144</f>
        <v>1.4719759173395821</v>
      </c>
    </row>
    <row r="145" spans="1:33" x14ac:dyDescent="0.3">
      <c r="A145" s="1">
        <v>143</v>
      </c>
      <c r="B145" s="2">
        <f>Model_1!G145</f>
        <v>1.1934167787996941E-3</v>
      </c>
      <c r="C145" s="2">
        <f>Model_2!G145</f>
        <v>0</v>
      </c>
      <c r="D145" s="2">
        <f ca="1">Model_3!G145</f>
        <v>10.726995880843342</v>
      </c>
      <c r="E145" s="2">
        <f>Model_4!G145</f>
        <v>19.827506577703151</v>
      </c>
      <c r="F145" s="2">
        <f>Model_1!H145</f>
        <v>499.98011051156828</v>
      </c>
      <c r="G145" s="2">
        <f>Model_2!H145</f>
        <v>622.38199715298731</v>
      </c>
      <c r="H145" s="2">
        <f ca="1">Model_3!H145</f>
        <v>571.69611700416033</v>
      </c>
      <c r="I145" s="2">
        <f>Model_4!H145</f>
        <v>566.14199662505632</v>
      </c>
      <c r="J145" s="2">
        <f>Model_1!I145</f>
        <v>0</v>
      </c>
      <c r="K145" s="2">
        <f>Model_2!I145</f>
        <v>4.8952798861194928</v>
      </c>
      <c r="L145" s="2">
        <f ca="1">Model_3!I145</f>
        <v>2.867844680166415</v>
      </c>
      <c r="M145" s="2">
        <f>Model_4!I145</f>
        <v>0</v>
      </c>
      <c r="N145" s="2">
        <f>Model_1!J145</f>
        <v>1000</v>
      </c>
      <c r="O145" s="2">
        <f>Model_2!J145</f>
        <v>1000</v>
      </c>
      <c r="P145" s="2">
        <f>Model_3!J145</f>
        <v>1000</v>
      </c>
      <c r="Q145" s="2">
        <f>Model_4!J145</f>
        <v>1600</v>
      </c>
      <c r="R145" s="2">
        <f>Model_1!K145</f>
        <v>2.0000795611185866</v>
      </c>
      <c r="S145" s="2">
        <f>Model_2!K145</f>
        <v>1.6067302791121554</v>
      </c>
      <c r="T145" s="2">
        <f ca="1">Model_3!K145</f>
        <v>1.7491810251226927</v>
      </c>
      <c r="U145" s="2">
        <f>Model_4!K145</f>
        <v>2.8261461074042979</v>
      </c>
      <c r="V145" s="2">
        <f>Model_1!L145</f>
        <v>50</v>
      </c>
      <c r="W145" s="2">
        <f>Model_2!L145</f>
        <v>50</v>
      </c>
      <c r="X145" s="2">
        <f ca="1">Model_3!L145</f>
        <v>50</v>
      </c>
      <c r="Y145" s="2">
        <f>Model_4!L145</f>
        <v>50</v>
      </c>
      <c r="Z145" s="2">
        <f>Model_1!M145</f>
        <v>100.00397805592934</v>
      </c>
      <c r="AA145" s="2">
        <f>Model_2!M145</f>
        <v>80.336513955607771</v>
      </c>
      <c r="AB145" s="2">
        <f ca="1">Model_3!M145</f>
        <v>87.459051256134629</v>
      </c>
      <c r="AC145" s="2">
        <f>Model_4!M145</f>
        <v>141.30730537021489</v>
      </c>
      <c r="AD145" s="2">
        <f>Model_1!N145</f>
        <v>1.0000397805592933</v>
      </c>
      <c r="AE145" s="2">
        <f>Model_2!N145</f>
        <v>0.80336513955607769</v>
      </c>
      <c r="AF145" s="2">
        <f ca="1">Model_3!N145</f>
        <v>0.87459051256134623</v>
      </c>
      <c r="AG145" s="2">
        <f>Model_4!N145</f>
        <v>1.413073053702149</v>
      </c>
    </row>
    <row r="146" spans="1:33" x14ac:dyDescent="0.3">
      <c r="A146" s="1">
        <v>144</v>
      </c>
      <c r="B146" s="2">
        <f>Model_1!G146</f>
        <v>1.1218062459161793E-3</v>
      </c>
      <c r="C146" s="2">
        <f>Model_2!G146</f>
        <v>14.187572503529882</v>
      </c>
      <c r="D146" s="2">
        <f ca="1">Model_3!G146</f>
        <v>0</v>
      </c>
      <c r="E146" s="2">
        <f>Model_4!G146</f>
        <v>17.532420697861266</v>
      </c>
      <c r="F146" s="2">
        <f>Model_1!H146</f>
        <v>499.98130392834707</v>
      </c>
      <c r="G146" s="2">
        <f>Model_2!H146</f>
        <v>617.4867172668678</v>
      </c>
      <c r="H146" s="2">
        <f ca="1">Model_3!H146</f>
        <v>579.55526820483726</v>
      </c>
      <c r="I146" s="2">
        <f>Model_4!H146</f>
        <v>585.96950320275948</v>
      </c>
      <c r="J146" s="2">
        <f>Model_1!I146</f>
        <v>0</v>
      </c>
      <c r="K146" s="2">
        <f>Model_2!I146</f>
        <v>0</v>
      </c>
      <c r="L146" s="2">
        <f ca="1">Model_3!I146</f>
        <v>0</v>
      </c>
      <c r="M146" s="2">
        <f>Model_4!I146</f>
        <v>0</v>
      </c>
      <c r="N146" s="2">
        <f>Model_1!J146</f>
        <v>1000</v>
      </c>
      <c r="O146" s="2">
        <f>Model_2!J146</f>
        <v>1600</v>
      </c>
      <c r="P146" s="2">
        <f>Model_3!J146</f>
        <v>1600</v>
      </c>
      <c r="Q146" s="2">
        <f>Model_4!J146</f>
        <v>1600</v>
      </c>
      <c r="R146" s="2">
        <f>Model_1!K146</f>
        <v>2.0000747870830611</v>
      </c>
      <c r="S146" s="2">
        <f>Model_2!K146</f>
        <v>2.5911488543137451</v>
      </c>
      <c r="T146" s="2">
        <f ca="1">Model_3!K146</f>
        <v>2.7607375651263997</v>
      </c>
      <c r="U146" s="2">
        <f>Model_4!K146</f>
        <v>2.7305175290775527</v>
      </c>
      <c r="V146" s="2">
        <f>Model_1!L146</f>
        <v>50</v>
      </c>
      <c r="W146" s="2">
        <f>Model_2!L146</f>
        <v>50</v>
      </c>
      <c r="X146" s="2">
        <f ca="1">Model_3!L146</f>
        <v>50</v>
      </c>
      <c r="Y146" s="2">
        <f>Model_4!L146</f>
        <v>50</v>
      </c>
      <c r="Z146" s="2">
        <f>Model_1!M146</f>
        <v>100.00373935415305</v>
      </c>
      <c r="AA146" s="2">
        <f>Model_2!M146</f>
        <v>129.55744271568724</v>
      </c>
      <c r="AB146" s="2">
        <f ca="1">Model_3!M146</f>
        <v>138.03687825631999</v>
      </c>
      <c r="AC146" s="2">
        <f>Model_4!M146</f>
        <v>136.52587645387763</v>
      </c>
      <c r="AD146" s="2">
        <f>Model_1!N146</f>
        <v>1.0000373935415305</v>
      </c>
      <c r="AE146" s="2">
        <f>Model_2!N146</f>
        <v>1.2955744271568725</v>
      </c>
      <c r="AF146" s="2">
        <f ca="1">Model_3!N146</f>
        <v>1.3803687825631998</v>
      </c>
      <c r="AG146" s="2">
        <f>Model_4!N146</f>
        <v>1.3652587645387764</v>
      </c>
    </row>
    <row r="147" spans="1:33" x14ac:dyDescent="0.3">
      <c r="A147" s="1">
        <v>145</v>
      </c>
      <c r="B147" s="2">
        <f>Model_1!G147</f>
        <v>1.0544929882949639E-3</v>
      </c>
      <c r="C147" s="2">
        <f>Model_2!G147</f>
        <v>0</v>
      </c>
      <c r="D147" s="2">
        <f ca="1">Model_3!G147</f>
        <v>0</v>
      </c>
      <c r="E147" s="2">
        <f>Model_4!G147</f>
        <v>15.628628972396385</v>
      </c>
      <c r="F147" s="2">
        <f>Model_1!H147</f>
        <v>499.98242573459299</v>
      </c>
      <c r="G147" s="2">
        <f>Model_2!H147</f>
        <v>631.67428977039765</v>
      </c>
      <c r="H147" s="2">
        <f ca="1">Model_3!H147</f>
        <v>579.55526820483726</v>
      </c>
      <c r="I147" s="2">
        <f>Model_4!H147</f>
        <v>603.5019239006208</v>
      </c>
      <c r="J147" s="2">
        <f>Model_1!I147</f>
        <v>0</v>
      </c>
      <c r="K147" s="2">
        <f>Model_2!I147</f>
        <v>5.2669715908159018</v>
      </c>
      <c r="L147" s="2">
        <f ca="1">Model_3!I147</f>
        <v>3.1822107281934917</v>
      </c>
      <c r="M147" s="2">
        <f>Model_4!I147</f>
        <v>0</v>
      </c>
      <c r="N147" s="2">
        <f>Model_1!J147</f>
        <v>1000</v>
      </c>
      <c r="O147" s="2">
        <f>Model_2!J147</f>
        <v>1000</v>
      </c>
      <c r="P147" s="2">
        <f>Model_3!J147</f>
        <v>1000</v>
      </c>
      <c r="Q147" s="2">
        <f>Model_4!J147</f>
        <v>1600</v>
      </c>
      <c r="R147" s="2">
        <f>Model_1!K147</f>
        <v>2.0000702995325534</v>
      </c>
      <c r="S147" s="2">
        <f>Model_2!K147</f>
        <v>1.583094351304819</v>
      </c>
      <c r="T147" s="2">
        <f ca="1">Model_3!K147</f>
        <v>1.7254609782039998</v>
      </c>
      <c r="U147" s="2">
        <f>Model_4!K147</f>
        <v>2.6511928738498494</v>
      </c>
      <c r="V147" s="2">
        <f>Model_1!L147</f>
        <v>49.999999999999993</v>
      </c>
      <c r="W147" s="2">
        <f>Model_2!L147</f>
        <v>50.000000000000014</v>
      </c>
      <c r="X147" s="2">
        <f ca="1">Model_3!L147</f>
        <v>50</v>
      </c>
      <c r="Y147" s="2">
        <f>Model_4!L147</f>
        <v>50</v>
      </c>
      <c r="Z147" s="2">
        <f>Model_1!M147</f>
        <v>100.00351497662766</v>
      </c>
      <c r="AA147" s="2">
        <f>Model_2!M147</f>
        <v>79.154717565240972</v>
      </c>
      <c r="AB147" s="2">
        <f ca="1">Model_3!M147</f>
        <v>86.273048910199989</v>
      </c>
      <c r="AC147" s="2">
        <f>Model_4!M147</f>
        <v>132.55964369249247</v>
      </c>
      <c r="AD147" s="2">
        <f>Model_1!N147</f>
        <v>1.0000351497662765</v>
      </c>
      <c r="AE147" s="2">
        <f>Model_2!N147</f>
        <v>0.79154717565240973</v>
      </c>
      <c r="AF147" s="2">
        <f ca="1">Model_3!N147</f>
        <v>0.8627304891019999</v>
      </c>
      <c r="AG147" s="2">
        <f>Model_4!N147</f>
        <v>1.3255964369249247</v>
      </c>
    </row>
    <row r="148" spans="1:33" x14ac:dyDescent="0.3">
      <c r="A148" s="1">
        <v>146</v>
      </c>
      <c r="B148" s="2">
        <f>Model_1!G148</f>
        <v>9.912190945504662E-4</v>
      </c>
      <c r="C148" s="2">
        <f>Model_2!G148</f>
        <v>0</v>
      </c>
      <c r="D148" s="2">
        <f ca="1">Model_3!G148</f>
        <v>11.762121011676896</v>
      </c>
      <c r="E148" s="2">
        <f>Model_4!G148</f>
        <v>14.022460080201828</v>
      </c>
      <c r="F148" s="2">
        <f>Model_1!H148</f>
        <v>499.98348022758131</v>
      </c>
      <c r="G148" s="2">
        <f>Model_2!H148</f>
        <v>626.40731817958169</v>
      </c>
      <c r="H148" s="2">
        <f ca="1">Model_3!H148</f>
        <v>576.37305747664379</v>
      </c>
      <c r="I148" s="2">
        <f>Model_4!H148</f>
        <v>619.13055287301722</v>
      </c>
      <c r="J148" s="2">
        <f>Model_1!I148</f>
        <v>0</v>
      </c>
      <c r="K148" s="2">
        <f>Model_2!I148</f>
        <v>5.0562927271832692</v>
      </c>
      <c r="L148" s="2">
        <f ca="1">Model_3!I148</f>
        <v>3.0549222990657525</v>
      </c>
      <c r="M148" s="2">
        <f>Model_4!I148</f>
        <v>0</v>
      </c>
      <c r="N148" s="2">
        <f>Model_1!J148</f>
        <v>1000</v>
      </c>
      <c r="O148" s="2">
        <f>Model_2!J148</f>
        <v>1000</v>
      </c>
      <c r="P148" s="2">
        <f>Model_3!J148</f>
        <v>1000</v>
      </c>
      <c r="Q148" s="2">
        <f>Model_4!J148</f>
        <v>1600</v>
      </c>
      <c r="R148" s="2">
        <f>Model_1!K148</f>
        <v>2.00006608127297</v>
      </c>
      <c r="S148" s="2">
        <f>Model_2!K148</f>
        <v>1.5964053595448495</v>
      </c>
      <c r="T148" s="2">
        <f ca="1">Model_3!K148</f>
        <v>1.734987413148684</v>
      </c>
      <c r="U148" s="2">
        <f>Model_4!K148</f>
        <v>2.5842691700084095</v>
      </c>
      <c r="V148" s="2">
        <f>Model_1!L148</f>
        <v>50</v>
      </c>
      <c r="W148" s="2">
        <f>Model_2!L148</f>
        <v>49.999999999999993</v>
      </c>
      <c r="X148" s="2">
        <f ca="1">Model_3!L148</f>
        <v>50</v>
      </c>
      <c r="Y148" s="2">
        <f>Model_4!L148</f>
        <v>50</v>
      </c>
      <c r="Z148" s="2">
        <f>Model_1!M148</f>
        <v>100.0033040636485</v>
      </c>
      <c r="AA148" s="2">
        <f>Model_2!M148</f>
        <v>79.820267977242466</v>
      </c>
      <c r="AB148" s="2">
        <f ca="1">Model_3!M148</f>
        <v>86.749370657434199</v>
      </c>
      <c r="AC148" s="2">
        <f>Model_4!M148</f>
        <v>129.21345850042047</v>
      </c>
      <c r="AD148" s="2">
        <f>Model_1!N148</f>
        <v>1.000033040636485</v>
      </c>
      <c r="AE148" s="2">
        <f>Model_2!N148</f>
        <v>0.79820267977242465</v>
      </c>
      <c r="AF148" s="2">
        <f ca="1">Model_3!N148</f>
        <v>0.86749370657434199</v>
      </c>
      <c r="AG148" s="2">
        <f>Model_4!N148</f>
        <v>1.2921345850042047</v>
      </c>
    </row>
    <row r="149" spans="1:33" x14ac:dyDescent="0.3">
      <c r="A149" s="1">
        <v>147</v>
      </c>
      <c r="B149" s="2">
        <f>Model_1!G149</f>
        <v>9.3174213666502581E-4</v>
      </c>
      <c r="C149" s="2">
        <f>Model_2!G149</f>
        <v>13.800815363652791</v>
      </c>
      <c r="D149" s="2">
        <f ca="1">Model_3!G149</f>
        <v>0</v>
      </c>
      <c r="E149" s="2">
        <f>Model_4!G149</f>
        <v>12.648846668028426</v>
      </c>
      <c r="F149" s="2">
        <f>Model_1!H149</f>
        <v>499.98447144667585</v>
      </c>
      <c r="G149" s="2">
        <f>Model_2!H149</f>
        <v>621.3510254523984</v>
      </c>
      <c r="H149" s="2">
        <f ca="1">Model_3!H149</f>
        <v>585.0802561892549</v>
      </c>
      <c r="I149" s="2">
        <f>Model_4!H149</f>
        <v>633.1530129532191</v>
      </c>
      <c r="J149" s="2">
        <f>Model_1!I149</f>
        <v>0</v>
      </c>
      <c r="K149" s="2">
        <f>Model_2!I149</f>
        <v>0</v>
      </c>
      <c r="L149" s="2">
        <f ca="1">Model_3!I149</f>
        <v>0</v>
      </c>
      <c r="M149" s="2">
        <f>Model_4!I149</f>
        <v>0</v>
      </c>
      <c r="N149" s="2">
        <f>Model_1!J149</f>
        <v>1000</v>
      </c>
      <c r="O149" s="2">
        <f>Model_2!J149</f>
        <v>1600</v>
      </c>
      <c r="P149" s="2">
        <f>Model_3!J149</f>
        <v>1600</v>
      </c>
      <c r="Q149" s="2">
        <f>Model_4!J149</f>
        <v>1600</v>
      </c>
      <c r="R149" s="2">
        <f>Model_1!K149</f>
        <v>2.0000621161424443</v>
      </c>
      <c r="S149" s="2">
        <f>Model_2!K149</f>
        <v>2.575033973485533</v>
      </c>
      <c r="T149" s="2">
        <f ca="1">Model_3!K149</f>
        <v>2.7346675658158781</v>
      </c>
      <c r="U149" s="2">
        <f>Model_4!K149</f>
        <v>2.5270352778345178</v>
      </c>
      <c r="V149" s="2">
        <f>Model_1!L149</f>
        <v>50</v>
      </c>
      <c r="W149" s="2">
        <f>Model_2!L149</f>
        <v>50</v>
      </c>
      <c r="X149" s="2">
        <f ca="1">Model_3!L149</f>
        <v>50</v>
      </c>
      <c r="Y149" s="2">
        <f>Model_4!L149</f>
        <v>50</v>
      </c>
      <c r="Z149" s="2">
        <f>Model_1!M149</f>
        <v>100.00310580712221</v>
      </c>
      <c r="AA149" s="2">
        <f>Model_2!M149</f>
        <v>128.75169867427664</v>
      </c>
      <c r="AB149" s="2">
        <f ca="1">Model_3!M149</f>
        <v>136.73337829079389</v>
      </c>
      <c r="AC149" s="2">
        <f>Model_4!M149</f>
        <v>126.35176389172588</v>
      </c>
      <c r="AD149" s="2">
        <f>Model_1!N149</f>
        <v>1.0000310580712222</v>
      </c>
      <c r="AE149" s="2">
        <f>Model_2!N149</f>
        <v>1.2875169867427665</v>
      </c>
      <c r="AF149" s="2">
        <f ca="1">Model_3!N149</f>
        <v>1.3673337829079388</v>
      </c>
      <c r="AG149" s="2">
        <f>Model_4!N149</f>
        <v>1.2635176389172589</v>
      </c>
    </row>
    <row r="150" spans="1:33" x14ac:dyDescent="0.3">
      <c r="A150" s="1">
        <v>148</v>
      </c>
      <c r="B150" s="2">
        <f>Model_1!G150</f>
        <v>8.758342400327912E-4</v>
      </c>
      <c r="C150" s="2">
        <f>Model_2!G150</f>
        <v>0</v>
      </c>
      <c r="D150" s="2">
        <f ca="1">Model_3!G150</f>
        <v>0</v>
      </c>
      <c r="E150" s="2">
        <f>Model_4!G150</f>
        <v>11.460962256319586</v>
      </c>
      <c r="F150" s="2">
        <f>Model_1!H150</f>
        <v>499.98540318881254</v>
      </c>
      <c r="G150" s="2">
        <f>Model_2!H150</f>
        <v>635.15184081605116</v>
      </c>
      <c r="H150" s="2">
        <f ca="1">Model_3!H150</f>
        <v>585.0802561892549</v>
      </c>
      <c r="I150" s="2">
        <f>Model_4!H150</f>
        <v>645.80185962124756</v>
      </c>
      <c r="J150" s="2">
        <f>Model_1!I150</f>
        <v>0</v>
      </c>
      <c r="K150" s="2">
        <f>Model_2!I150</f>
        <v>5.4060736326420473</v>
      </c>
      <c r="L150" s="2">
        <f ca="1">Model_3!I150</f>
        <v>3.403210247570196</v>
      </c>
      <c r="M150" s="2">
        <f>Model_4!I150</f>
        <v>0</v>
      </c>
      <c r="N150" s="2">
        <f>Model_1!J150</f>
        <v>1000</v>
      </c>
      <c r="O150" s="2">
        <f>Model_2!J150</f>
        <v>1000</v>
      </c>
      <c r="P150" s="2">
        <f>Model_3!J150</f>
        <v>1000</v>
      </c>
      <c r="Q150" s="2">
        <f>Model_4!J150</f>
        <v>1600</v>
      </c>
      <c r="R150" s="2">
        <f>Model_1!K150</f>
        <v>2.0000583889493346</v>
      </c>
      <c r="S150" s="2">
        <f>Model_2!K150</f>
        <v>1.5744266736520629</v>
      </c>
      <c r="T150" s="2">
        <f ca="1">Model_3!K150</f>
        <v>1.7091672286349238</v>
      </c>
      <c r="U150" s="2">
        <f>Model_4!K150</f>
        <v>2.4775400940133161</v>
      </c>
      <c r="V150" s="2">
        <f>Model_1!L150</f>
        <v>50.000000000000014</v>
      </c>
      <c r="W150" s="2">
        <f>Model_2!L150</f>
        <v>50</v>
      </c>
      <c r="X150" s="2">
        <f ca="1">Model_3!L150</f>
        <v>50</v>
      </c>
      <c r="Y150" s="2">
        <f>Model_4!L150</f>
        <v>50</v>
      </c>
      <c r="Z150" s="2">
        <f>Model_1!M150</f>
        <v>100.00291944746677</v>
      </c>
      <c r="AA150" s="2">
        <f>Model_2!M150</f>
        <v>78.721333682603145</v>
      </c>
      <c r="AB150" s="2">
        <f ca="1">Model_3!M150</f>
        <v>85.458361431746184</v>
      </c>
      <c r="AC150" s="2">
        <f>Model_4!M150</f>
        <v>123.87700470066581</v>
      </c>
      <c r="AD150" s="2">
        <f>Model_1!N150</f>
        <v>1.0000291944746678</v>
      </c>
      <c r="AE150" s="2">
        <f>Model_2!N150</f>
        <v>0.78721333682603145</v>
      </c>
      <c r="AF150" s="2">
        <f ca="1">Model_3!N150</f>
        <v>0.85458361431746188</v>
      </c>
      <c r="AG150" s="2">
        <f>Model_4!N150</f>
        <v>1.238770047006658</v>
      </c>
    </row>
    <row r="151" spans="1:33" x14ac:dyDescent="0.3">
      <c r="A151" s="1">
        <v>149</v>
      </c>
      <c r="B151" s="2">
        <f>Model_1!G151</f>
        <v>8.2328120929231474E-4</v>
      </c>
      <c r="C151" s="2">
        <f>Model_2!G151</f>
        <v>0</v>
      </c>
      <c r="D151" s="2">
        <f ca="1">Model_3!G151</f>
        <v>11.411063476895995</v>
      </c>
      <c r="E151" s="2">
        <f>Model_4!G151</f>
        <v>10.424116992202297</v>
      </c>
      <c r="F151" s="2">
        <f>Model_1!H151</f>
        <v>499.98627902305259</v>
      </c>
      <c r="G151" s="2">
        <f>Model_2!H151</f>
        <v>629.74576718340916</v>
      </c>
      <c r="H151" s="2">
        <f ca="1">Model_3!H151</f>
        <v>581.6770459416847</v>
      </c>
      <c r="I151" s="2">
        <f>Model_4!H151</f>
        <v>657.26282187756715</v>
      </c>
      <c r="J151" s="2">
        <f>Model_1!I151</f>
        <v>0</v>
      </c>
      <c r="K151" s="2">
        <f>Model_2!I151</f>
        <v>5.1898306873363698</v>
      </c>
      <c r="L151" s="2">
        <f ca="1">Model_3!I151</f>
        <v>3.267081837667388</v>
      </c>
      <c r="M151" s="2">
        <f>Model_4!I151</f>
        <v>0</v>
      </c>
      <c r="N151" s="2">
        <f>Model_1!J151</f>
        <v>1000</v>
      </c>
      <c r="O151" s="2">
        <f>Model_2!J151</f>
        <v>1000</v>
      </c>
      <c r="P151" s="2">
        <f>Model_3!J151</f>
        <v>1000</v>
      </c>
      <c r="Q151" s="2">
        <f>Model_4!J151</f>
        <v>1600</v>
      </c>
      <c r="R151" s="2">
        <f>Model_1!K151</f>
        <v>2.0000548854139528</v>
      </c>
      <c r="S151" s="2">
        <f>Model_2!K151</f>
        <v>1.5879423921697544</v>
      </c>
      <c r="T151" s="2">
        <f ca="1">Model_3!K151</f>
        <v>1.7191670308755036</v>
      </c>
      <c r="U151" s="2">
        <f>Model_4!K151</f>
        <v>2.434338208008429</v>
      </c>
      <c r="V151" s="2">
        <f>Model_1!L151</f>
        <v>49.999999999999993</v>
      </c>
      <c r="W151" s="2">
        <f>Model_2!L151</f>
        <v>50</v>
      </c>
      <c r="X151" s="2">
        <f ca="1">Model_3!L151</f>
        <v>50</v>
      </c>
      <c r="Y151" s="2">
        <f>Model_4!L151</f>
        <v>50</v>
      </c>
      <c r="Z151" s="2">
        <f>Model_1!M151</f>
        <v>100.00274427069763</v>
      </c>
      <c r="AA151" s="2">
        <f>Model_2!M151</f>
        <v>79.397119608487714</v>
      </c>
      <c r="AB151" s="2">
        <f ca="1">Model_3!M151</f>
        <v>85.95835154377518</v>
      </c>
      <c r="AC151" s="2">
        <f>Model_4!M151</f>
        <v>121.71691040042145</v>
      </c>
      <c r="AD151" s="2">
        <f>Model_1!N151</f>
        <v>1.0000274427069764</v>
      </c>
      <c r="AE151" s="2">
        <f>Model_2!N151</f>
        <v>0.7939711960848771</v>
      </c>
      <c r="AF151" s="2">
        <f ca="1">Model_3!N151</f>
        <v>0.8595835154377518</v>
      </c>
      <c r="AG151" s="2">
        <f>Model_4!N151</f>
        <v>1.2171691040042145</v>
      </c>
    </row>
    <row r="152" spans="1:33" x14ac:dyDescent="0.3">
      <c r="A152" s="1">
        <v>150</v>
      </c>
      <c r="B152" s="2">
        <f>Model_1!G152</f>
        <v>7.7388170686365498E-4</v>
      </c>
      <c r="C152" s="2">
        <f>Model_2!G152</f>
        <v>13.483684256424418</v>
      </c>
      <c r="D152" s="2">
        <f ca="1">Model_3!G152</f>
        <v>0</v>
      </c>
      <c r="E152" s="2">
        <f>Model_4!G152</f>
        <v>9.5119831833191277</v>
      </c>
      <c r="F152" s="2">
        <f>Model_1!H152</f>
        <v>499.9871023042619</v>
      </c>
      <c r="G152" s="2">
        <f>Model_2!H152</f>
        <v>624.55593649607283</v>
      </c>
      <c r="H152" s="2">
        <f ca="1">Model_3!H152</f>
        <v>589.82102758091332</v>
      </c>
      <c r="I152" s="2">
        <f>Model_4!H152</f>
        <v>667.68693886976939</v>
      </c>
      <c r="J152" s="2">
        <f>Model_1!I152</f>
        <v>0</v>
      </c>
      <c r="K152" s="2">
        <f>Model_2!I152</f>
        <v>0</v>
      </c>
      <c r="L152" s="2">
        <f ca="1">Model_3!I152</f>
        <v>0</v>
      </c>
      <c r="M152" s="2">
        <f>Model_4!I152</f>
        <v>0</v>
      </c>
      <c r="N152" s="2">
        <f>Model_1!J152</f>
        <v>1000</v>
      </c>
      <c r="O152" s="2">
        <f>Model_2!J152</f>
        <v>1600</v>
      </c>
      <c r="P152" s="2">
        <f>Model_3!J152</f>
        <v>1600</v>
      </c>
      <c r="Q152" s="2">
        <f>Model_4!J152</f>
        <v>1600</v>
      </c>
      <c r="R152" s="2">
        <f>Model_1!K152</f>
        <v>2.0000515921137914</v>
      </c>
      <c r="S152" s="2">
        <f>Model_2!K152</f>
        <v>2.5618201773510174</v>
      </c>
      <c r="T152" s="2">
        <f ca="1">Model_3!K152</f>
        <v>2.7126872817034444</v>
      </c>
      <c r="U152" s="2">
        <f>Model_4!K152</f>
        <v>2.3963326326382965</v>
      </c>
      <c r="V152" s="2">
        <f>Model_1!L152</f>
        <v>49.999999999999993</v>
      </c>
      <c r="W152" s="2">
        <f>Model_2!L152</f>
        <v>50</v>
      </c>
      <c r="X152" s="2">
        <f ca="1">Model_3!L152</f>
        <v>50</v>
      </c>
      <c r="Y152" s="2">
        <f>Model_4!L152</f>
        <v>50.000000000000014</v>
      </c>
      <c r="Z152" s="2">
        <f>Model_1!M152</f>
        <v>100.00257960568955</v>
      </c>
      <c r="AA152" s="2">
        <f>Model_2!M152</f>
        <v>128.09100886755087</v>
      </c>
      <c r="AB152" s="2">
        <f ca="1">Model_3!M152</f>
        <v>135.63436408517222</v>
      </c>
      <c r="AC152" s="2">
        <f>Model_4!M152</f>
        <v>119.81663163191486</v>
      </c>
      <c r="AD152" s="2">
        <f>Model_1!N152</f>
        <v>1.0000257960568955</v>
      </c>
      <c r="AE152" s="2">
        <f>Model_2!N152</f>
        <v>1.2809100886755087</v>
      </c>
      <c r="AF152" s="2">
        <f ca="1">Model_3!N152</f>
        <v>1.3563436408517222</v>
      </c>
      <c r="AG152" s="2">
        <f>Model_4!N152</f>
        <v>1.1981663163191485</v>
      </c>
    </row>
    <row r="153" spans="1:33" x14ac:dyDescent="0.3">
      <c r="A153" s="1">
        <v>151</v>
      </c>
      <c r="B153" s="2">
        <f>Model_1!G153</f>
        <v>7.2744648072609053E-4</v>
      </c>
      <c r="C153" s="2">
        <f>Model_2!G153</f>
        <v>0</v>
      </c>
      <c r="D153" s="2">
        <f ca="1">Model_3!G153</f>
        <v>0</v>
      </c>
      <c r="E153" s="2">
        <f>Model_4!G153</f>
        <v>0</v>
      </c>
      <c r="F153" s="2">
        <f>Model_1!H153</f>
        <v>499.98787618596879</v>
      </c>
      <c r="G153" s="2">
        <f>Model_2!H153</f>
        <v>638.03962075249729</v>
      </c>
      <c r="H153" s="2">
        <f ca="1">Model_3!H153</f>
        <v>589.82102758091332</v>
      </c>
      <c r="I153" s="2">
        <f>Model_4!H153</f>
        <v>677.19892205308849</v>
      </c>
      <c r="J153" s="2">
        <f>Model_1!I153</f>
        <v>0</v>
      </c>
      <c r="K153" s="2">
        <f>Model_2!I153</f>
        <v>5.5215848300998918</v>
      </c>
      <c r="L153" s="2">
        <f ca="1">Model_3!I153</f>
        <v>3.5928411032365335</v>
      </c>
      <c r="M153" s="2">
        <f>Model_4!I153</f>
        <v>19.087956882123542</v>
      </c>
      <c r="N153" s="2">
        <f>Model_1!J153</f>
        <v>1000</v>
      </c>
      <c r="O153" s="2">
        <f>Model_2!J153</f>
        <v>1000</v>
      </c>
      <c r="P153" s="2">
        <f>Model_3!J153</f>
        <v>1000</v>
      </c>
      <c r="Q153" s="2">
        <f>Model_4!J153</f>
        <v>400</v>
      </c>
      <c r="R153" s="2">
        <f>Model_1!K153</f>
        <v>2.0000484964320484</v>
      </c>
      <c r="S153" s="2">
        <f>Model_2!K153</f>
        <v>1.5673007874034695</v>
      </c>
      <c r="T153" s="2">
        <f ca="1">Model_3!K153</f>
        <v>1.6954295510646527</v>
      </c>
      <c r="U153" s="2">
        <f>Model_4!K153</f>
        <v>0.5906683944317358</v>
      </c>
      <c r="V153" s="2">
        <f>Model_1!L153</f>
        <v>50</v>
      </c>
      <c r="W153" s="2">
        <f>Model_2!L153</f>
        <v>50</v>
      </c>
      <c r="X153" s="2">
        <f ca="1">Model_3!L153</f>
        <v>50</v>
      </c>
      <c r="Y153" s="2">
        <f>Model_4!L153</f>
        <v>50</v>
      </c>
      <c r="Z153" s="2">
        <f>Model_1!M153</f>
        <v>100.00242482160242</v>
      </c>
      <c r="AA153" s="2">
        <f>Model_2!M153</f>
        <v>78.365039370173477</v>
      </c>
      <c r="AB153" s="2">
        <f ca="1">Model_3!M153</f>
        <v>84.771477553232629</v>
      </c>
      <c r="AC153" s="2">
        <f>Model_4!M153</f>
        <v>29.533419721586789</v>
      </c>
      <c r="AD153" s="2">
        <f>Model_1!N153</f>
        <v>1.0000242482160242</v>
      </c>
      <c r="AE153" s="2">
        <f>Model_2!N153</f>
        <v>0.78365039370173473</v>
      </c>
      <c r="AF153" s="2">
        <f ca="1">Model_3!N153</f>
        <v>0.84771477553232633</v>
      </c>
      <c r="AG153" s="2">
        <f>Model_4!N153</f>
        <v>0.2953341972158679</v>
      </c>
    </row>
    <row r="154" spans="1:33" x14ac:dyDescent="0.3">
      <c r="A154" s="1">
        <v>152</v>
      </c>
      <c r="B154" s="2">
        <f>Model_1!G154</f>
        <v>6.8379763865200616E-4</v>
      </c>
      <c r="C154" s="2">
        <f>Model_2!G154</f>
        <v>0</v>
      </c>
      <c r="D154" s="2">
        <f ca="1">Model_3!G154</f>
        <v>11.020013487238165</v>
      </c>
      <c r="E154" s="2">
        <f>Model_4!G154</f>
        <v>0</v>
      </c>
      <c r="F154" s="2">
        <f>Model_1!H154</f>
        <v>499.9886036324495</v>
      </c>
      <c r="G154" s="2">
        <f>Model_2!H154</f>
        <v>632.51803592239742</v>
      </c>
      <c r="H154" s="2">
        <f ca="1">Model_3!H154</f>
        <v>586.22818647767679</v>
      </c>
      <c r="I154" s="2">
        <f>Model_4!H154</f>
        <v>658.11096517096496</v>
      </c>
      <c r="J154" s="2">
        <f>Model_1!I154</f>
        <v>0</v>
      </c>
      <c r="K154" s="2">
        <f>Model_2!I154</f>
        <v>5.3007214368958966</v>
      </c>
      <c r="L154" s="2">
        <f ca="1">Model_3!I154</f>
        <v>3.4491274591070753</v>
      </c>
      <c r="M154" s="2">
        <f>Model_4!I154</f>
        <v>18.324438606838598</v>
      </c>
      <c r="N154" s="2">
        <f>Model_1!J154</f>
        <v>1000</v>
      </c>
      <c r="O154" s="2">
        <f>Model_2!J154</f>
        <v>1000</v>
      </c>
      <c r="P154" s="2">
        <f>Model_3!J154</f>
        <v>1000</v>
      </c>
      <c r="Q154" s="2">
        <f>Model_4!J154</f>
        <v>400</v>
      </c>
      <c r="R154" s="2">
        <f>Model_1!K154</f>
        <v>2.000045586509243</v>
      </c>
      <c r="S154" s="2">
        <f>Model_2!K154</f>
        <v>1.5809825858035902</v>
      </c>
      <c r="T154" s="2">
        <f ca="1">Model_3!K154</f>
        <v>1.7058204007699644</v>
      </c>
      <c r="U154" s="2">
        <f>Model_4!K154</f>
        <v>0.60780023608342015</v>
      </c>
      <c r="V154" s="2">
        <f>Model_1!L154</f>
        <v>50.000000000000014</v>
      </c>
      <c r="W154" s="2">
        <f>Model_2!L154</f>
        <v>50</v>
      </c>
      <c r="X154" s="2">
        <f ca="1">Model_3!L154</f>
        <v>49.999999999999993</v>
      </c>
      <c r="Y154" s="2">
        <f>Model_4!L154</f>
        <v>50</v>
      </c>
      <c r="Z154" s="2">
        <f>Model_1!M154</f>
        <v>100.00227932546218</v>
      </c>
      <c r="AA154" s="2">
        <f>Model_2!M154</f>
        <v>79.049129290179508</v>
      </c>
      <c r="AB154" s="2">
        <f ca="1">Model_3!M154</f>
        <v>85.291020038498203</v>
      </c>
      <c r="AC154" s="2">
        <f>Model_4!M154</f>
        <v>30.390011804171007</v>
      </c>
      <c r="AD154" s="2">
        <f>Model_1!N154</f>
        <v>1.0000227932546217</v>
      </c>
      <c r="AE154" s="2">
        <f>Model_2!N154</f>
        <v>0.7904912929017951</v>
      </c>
      <c r="AF154" s="2">
        <f ca="1">Model_3!N154</f>
        <v>0.852910200384982</v>
      </c>
      <c r="AG154" s="2">
        <f>Model_4!N154</f>
        <v>0.30390011804171008</v>
      </c>
    </row>
    <row r="155" spans="1:33" x14ac:dyDescent="0.3">
      <c r="A155" s="1">
        <v>153</v>
      </c>
      <c r="B155" s="2">
        <f>Model_1!G155</f>
        <v>6.4276796610585052E-4</v>
      </c>
      <c r="C155" s="2">
        <f>Model_2!G155</f>
        <v>13.222799679085767</v>
      </c>
      <c r="D155" s="2">
        <f ca="1">Model_3!G155</f>
        <v>0</v>
      </c>
      <c r="E155" s="2">
        <f>Model_4!G155</f>
        <v>0</v>
      </c>
      <c r="F155" s="2">
        <f>Model_1!H155</f>
        <v>499.98928743008815</v>
      </c>
      <c r="G155" s="2">
        <f>Model_2!H155</f>
        <v>627.21731448550156</v>
      </c>
      <c r="H155" s="2">
        <f ca="1">Model_3!H155</f>
        <v>593.79907250580789</v>
      </c>
      <c r="I155" s="2">
        <f>Model_4!H155</f>
        <v>639.78652656412635</v>
      </c>
      <c r="J155" s="2">
        <f>Model_1!I155</f>
        <v>0</v>
      </c>
      <c r="K155" s="2">
        <f>Model_2!I155</f>
        <v>0</v>
      </c>
      <c r="L155" s="2">
        <f ca="1">Model_3!I155</f>
        <v>0</v>
      </c>
      <c r="M155" s="2">
        <f>Model_4!I155</f>
        <v>17.591461062565056</v>
      </c>
      <c r="N155" s="2">
        <f>Model_1!J155</f>
        <v>1000</v>
      </c>
      <c r="O155" s="2">
        <f>Model_2!J155</f>
        <v>1600</v>
      </c>
      <c r="P155" s="2">
        <f>Model_3!J155</f>
        <v>1600</v>
      </c>
      <c r="Q155" s="2">
        <f>Model_4!J155</f>
        <v>400</v>
      </c>
      <c r="R155" s="2">
        <f>Model_1!K155</f>
        <v>2.0000428511977404</v>
      </c>
      <c r="S155" s="2">
        <f>Model_2!K155</f>
        <v>2.5509499866285736</v>
      </c>
      <c r="T155" s="2">
        <f ca="1">Model_3!K155</f>
        <v>2.6945141447393395</v>
      </c>
      <c r="U155" s="2">
        <f>Model_4!K155</f>
        <v>0.6252085397111089</v>
      </c>
      <c r="V155" s="2">
        <f>Model_1!L155</f>
        <v>50</v>
      </c>
      <c r="W155" s="2">
        <f>Model_2!L155</f>
        <v>50</v>
      </c>
      <c r="X155" s="2">
        <f ca="1">Model_3!L155</f>
        <v>50</v>
      </c>
      <c r="Y155" s="2">
        <f>Model_4!L155</f>
        <v>50</v>
      </c>
      <c r="Z155" s="2">
        <f>Model_1!M155</f>
        <v>100.00214255988702</v>
      </c>
      <c r="AA155" s="2">
        <f>Model_2!M155</f>
        <v>127.54749933142868</v>
      </c>
      <c r="AB155" s="2">
        <f ca="1">Model_3!M155</f>
        <v>134.72570723696697</v>
      </c>
      <c r="AC155" s="2">
        <f>Model_4!M155</f>
        <v>31.260426985555444</v>
      </c>
      <c r="AD155" s="2">
        <f>Model_1!N155</f>
        <v>1.0000214255988702</v>
      </c>
      <c r="AE155" s="2">
        <f>Model_2!N155</f>
        <v>1.2754749933142868</v>
      </c>
      <c r="AF155" s="2">
        <f ca="1">Model_3!N155</f>
        <v>1.3472570723696697</v>
      </c>
      <c r="AG155" s="2">
        <f>Model_4!N155</f>
        <v>0.31260426985555445</v>
      </c>
    </row>
    <row r="156" spans="1:33" x14ac:dyDescent="0.3">
      <c r="A156" s="1">
        <v>154</v>
      </c>
      <c r="B156" s="2">
        <f>Model_1!G156</f>
        <v>6.0420028510366208E-4</v>
      </c>
      <c r="C156" s="2">
        <f>Model_2!G156</f>
        <v>0</v>
      </c>
      <c r="D156" s="2">
        <f ca="1">Model_3!G156</f>
        <v>0</v>
      </c>
      <c r="E156" s="2">
        <f>Model_4!G156</f>
        <v>0</v>
      </c>
      <c r="F156" s="2">
        <f>Model_1!H156</f>
        <v>499.98993019805425</v>
      </c>
      <c r="G156" s="2">
        <f>Model_2!H156</f>
        <v>640.44011416458738</v>
      </c>
      <c r="H156" s="2">
        <f ca="1">Model_3!H156</f>
        <v>593.79907250580789</v>
      </c>
      <c r="I156" s="2">
        <f>Model_4!H156</f>
        <v>622.19506550156132</v>
      </c>
      <c r="J156" s="2">
        <f>Model_1!I156</f>
        <v>0</v>
      </c>
      <c r="K156" s="2">
        <f>Model_2!I156</f>
        <v>17.617604566583495</v>
      </c>
      <c r="L156" s="2">
        <f ca="1">Model_3!I156</f>
        <v>15.751962900232314</v>
      </c>
      <c r="M156" s="2">
        <f>Model_4!I156</f>
        <v>16.887802620062452</v>
      </c>
      <c r="N156" s="2">
        <f>Model_1!J156</f>
        <v>1000</v>
      </c>
      <c r="O156" s="2">
        <f>Model_2!J156</f>
        <v>400</v>
      </c>
      <c r="P156" s="2">
        <f>Model_3!J156</f>
        <v>400</v>
      </c>
      <c r="Q156" s="2">
        <f>Model_4!J156</f>
        <v>400</v>
      </c>
      <c r="R156" s="2">
        <f>Model_1!K156</f>
        <v>2.0000402800190065</v>
      </c>
      <c r="S156" s="2">
        <f>Model_2!K156</f>
        <v>0.62457049637150552</v>
      </c>
      <c r="T156" s="2">
        <f ca="1">Model_3!K156</f>
        <v>0.67362853618483487</v>
      </c>
      <c r="U156" s="2">
        <f>Model_4!K156</f>
        <v>0.6428852014079437</v>
      </c>
      <c r="V156" s="2">
        <f>Model_1!L156</f>
        <v>50.000000000000014</v>
      </c>
      <c r="W156" s="2">
        <f>Model_2!L156</f>
        <v>50</v>
      </c>
      <c r="X156" s="2">
        <f ca="1">Model_3!L156</f>
        <v>50</v>
      </c>
      <c r="Y156" s="2">
        <f>Model_4!L156</f>
        <v>50.000000000000014</v>
      </c>
      <c r="Z156" s="2">
        <f>Model_1!M156</f>
        <v>100.00201400095035</v>
      </c>
      <c r="AA156" s="2">
        <f>Model_2!M156</f>
        <v>31.228524818575277</v>
      </c>
      <c r="AB156" s="2">
        <f ca="1">Model_3!M156</f>
        <v>33.681426809241742</v>
      </c>
      <c r="AC156" s="2">
        <f>Model_4!M156</f>
        <v>32.144260070397195</v>
      </c>
      <c r="AD156" s="2">
        <f>Model_1!N156</f>
        <v>1.0000201400095035</v>
      </c>
      <c r="AE156" s="2">
        <f>Model_2!N156</f>
        <v>0.31228524818575276</v>
      </c>
      <c r="AF156" s="2">
        <f ca="1">Model_3!N156</f>
        <v>0.33681426809241743</v>
      </c>
      <c r="AG156" s="2">
        <f>Model_4!N156</f>
        <v>0.32144260070397196</v>
      </c>
    </row>
    <row r="157" spans="1:33" x14ac:dyDescent="0.3">
      <c r="A157" s="1">
        <v>155</v>
      </c>
      <c r="B157" s="2">
        <f>Model_1!G157</f>
        <v>5.6794685155514557E-4</v>
      </c>
      <c r="C157" s="2">
        <f>Model_2!G157</f>
        <v>0</v>
      </c>
      <c r="D157" s="2">
        <f ca="1">Model_3!G157</f>
        <v>10.690309225551665</v>
      </c>
      <c r="E157" s="2">
        <f>Model_4!G157</f>
        <v>0</v>
      </c>
      <c r="F157" s="2">
        <f>Model_1!H157</f>
        <v>499.99053439833938</v>
      </c>
      <c r="G157" s="2">
        <f>Model_2!H157</f>
        <v>622.82250959800388</v>
      </c>
      <c r="H157" s="2">
        <f ca="1">Model_3!H157</f>
        <v>578.04710960557554</v>
      </c>
      <c r="I157" s="2">
        <f>Model_4!H157</f>
        <v>605.3072628814989</v>
      </c>
      <c r="J157" s="2">
        <f>Model_1!I157</f>
        <v>0</v>
      </c>
      <c r="K157" s="2">
        <f>Model_2!I157</f>
        <v>4.9129003839201557</v>
      </c>
      <c r="L157" s="2">
        <f ca="1">Model_3!I157</f>
        <v>3.1218843842230211</v>
      </c>
      <c r="M157" s="2">
        <f>Model_4!I157</f>
        <v>16.212290515259955</v>
      </c>
      <c r="N157" s="2">
        <f>Model_1!J157</f>
        <v>1000</v>
      </c>
      <c r="O157" s="2">
        <f>Model_2!J157</f>
        <v>1000</v>
      </c>
      <c r="P157" s="2">
        <f>Model_3!J157</f>
        <v>1000</v>
      </c>
      <c r="Q157" s="2">
        <f>Model_4!J157</f>
        <v>400</v>
      </c>
      <c r="R157" s="2">
        <f>Model_1!K157</f>
        <v>2.000037863123437</v>
      </c>
      <c r="S157" s="2">
        <f>Model_2!K157</f>
        <v>1.6055938643666596</v>
      </c>
      <c r="T157" s="2">
        <f ca="1">Model_3!K157</f>
        <v>1.7299628064611199</v>
      </c>
      <c r="U157" s="2">
        <f>Model_4!K157</f>
        <v>0.66082141175019748</v>
      </c>
      <c r="V157" s="2">
        <f>Model_1!L157</f>
        <v>50</v>
      </c>
      <c r="W157" s="2">
        <f>Model_2!L157</f>
        <v>50</v>
      </c>
      <c r="X157" s="2">
        <f ca="1">Model_3!L157</f>
        <v>50</v>
      </c>
      <c r="Y157" s="2">
        <f>Model_4!L157</f>
        <v>50</v>
      </c>
      <c r="Z157" s="2">
        <f>Model_1!M157</f>
        <v>100.00189315617185</v>
      </c>
      <c r="AA157" s="2">
        <f>Model_2!M157</f>
        <v>80.27969321833298</v>
      </c>
      <c r="AB157" s="2">
        <f ca="1">Model_3!M157</f>
        <v>86.498140323055992</v>
      </c>
      <c r="AC157" s="2">
        <f>Model_4!M157</f>
        <v>33.041070587509871</v>
      </c>
      <c r="AD157" s="2">
        <f>Model_1!N157</f>
        <v>1.0000189315617185</v>
      </c>
      <c r="AE157" s="2">
        <f>Model_2!N157</f>
        <v>0.80279693218332981</v>
      </c>
      <c r="AF157" s="2">
        <f ca="1">Model_3!N157</f>
        <v>0.86498140323055994</v>
      </c>
      <c r="AG157" s="2">
        <f>Model_4!N157</f>
        <v>0.33041070587509869</v>
      </c>
    </row>
    <row r="158" spans="1:33" x14ac:dyDescent="0.3">
      <c r="A158" s="1">
        <v>156</v>
      </c>
      <c r="B158" s="2">
        <f>Model_1!G158</f>
        <v>5.3386878890337996E-4</v>
      </c>
      <c r="C158" s="2">
        <f>Model_2!G158</f>
        <v>14.145011871300678</v>
      </c>
      <c r="D158" s="2">
        <f ca="1">Model_3!G158</f>
        <v>0</v>
      </c>
      <c r="E158" s="2">
        <f>Model_4!G158</f>
        <v>0</v>
      </c>
      <c r="F158" s="2">
        <f>Model_1!H158</f>
        <v>499.99110234519094</v>
      </c>
      <c r="G158" s="2">
        <f>Model_2!H158</f>
        <v>617.90960921408373</v>
      </c>
      <c r="H158" s="2">
        <f ca="1">Model_3!H158</f>
        <v>585.61553444690423</v>
      </c>
      <c r="I158" s="2">
        <f>Model_4!H158</f>
        <v>589.09497236623895</v>
      </c>
      <c r="J158" s="2">
        <f>Model_1!I158</f>
        <v>0</v>
      </c>
      <c r="K158" s="2">
        <f>Model_2!I158</f>
        <v>0</v>
      </c>
      <c r="L158" s="2">
        <f ca="1">Model_3!I158</f>
        <v>0</v>
      </c>
      <c r="M158" s="2">
        <f>Model_4!I158</f>
        <v>15.563798894649556</v>
      </c>
      <c r="N158" s="2">
        <f>Model_1!J158</f>
        <v>1000</v>
      </c>
      <c r="O158" s="2">
        <f>Model_2!J158</f>
        <v>1600</v>
      </c>
      <c r="P158" s="2">
        <f>Model_3!J158</f>
        <v>1600</v>
      </c>
      <c r="Q158" s="2">
        <f>Model_4!J158</f>
        <v>400</v>
      </c>
      <c r="R158" s="2">
        <f>Model_1!K158</f>
        <v>2.0000355912525936</v>
      </c>
      <c r="S158" s="2">
        <f>Model_2!K158</f>
        <v>2.5893754946375287</v>
      </c>
      <c r="T158" s="2">
        <f ca="1">Model_3!K158</f>
        <v>2.7321679598393005</v>
      </c>
      <c r="U158" s="2">
        <f>Model_4!K158</f>
        <v>0.67900766219970543</v>
      </c>
      <c r="V158" s="2">
        <f>Model_1!L158</f>
        <v>50</v>
      </c>
      <c r="W158" s="2">
        <f>Model_2!L158</f>
        <v>49.999999999999993</v>
      </c>
      <c r="X158" s="2">
        <f ca="1">Model_3!L158</f>
        <v>50</v>
      </c>
      <c r="Y158" s="2">
        <f>Model_4!L158</f>
        <v>50</v>
      </c>
      <c r="Z158" s="2">
        <f>Model_1!M158</f>
        <v>100.00177956262968</v>
      </c>
      <c r="AA158" s="2">
        <f>Model_2!M158</f>
        <v>129.46877473187641</v>
      </c>
      <c r="AB158" s="2">
        <f ca="1">Model_3!M158</f>
        <v>136.60839799196503</v>
      </c>
      <c r="AC158" s="2">
        <f>Model_4!M158</f>
        <v>33.950383109985275</v>
      </c>
      <c r="AD158" s="2">
        <f>Model_1!N158</f>
        <v>1.0000177956262968</v>
      </c>
      <c r="AE158" s="2">
        <f>Model_2!N158</f>
        <v>1.2946877473187641</v>
      </c>
      <c r="AF158" s="2">
        <f ca="1">Model_3!N158</f>
        <v>1.3660839799196502</v>
      </c>
      <c r="AG158" s="2">
        <f>Model_4!N158</f>
        <v>0.33950383109985277</v>
      </c>
    </row>
    <row r="159" spans="1:33" x14ac:dyDescent="0.3">
      <c r="A159" s="1">
        <v>157</v>
      </c>
      <c r="B159" s="2">
        <f>Model_1!G159</f>
        <v>5.0183555569738303E-4</v>
      </c>
      <c r="C159" s="2">
        <f>Model_2!G159</f>
        <v>0</v>
      </c>
      <c r="D159" s="2">
        <f ca="1">Model_3!G159</f>
        <v>0</v>
      </c>
      <c r="E159" s="2">
        <f>Model_4!G159</f>
        <v>0</v>
      </c>
      <c r="F159" s="2">
        <f>Model_1!H159</f>
        <v>499.99163621397986</v>
      </c>
      <c r="G159" s="2">
        <f>Model_2!H159</f>
        <v>632.05462108538438</v>
      </c>
      <c r="H159" s="2">
        <f ca="1">Model_3!H159</f>
        <v>585.61553444690423</v>
      </c>
      <c r="I159" s="2">
        <f>Model_4!H159</f>
        <v>573.53117347158934</v>
      </c>
      <c r="J159" s="2">
        <f>Model_1!I159</f>
        <v>0</v>
      </c>
      <c r="K159" s="2">
        <f>Model_2!I159</f>
        <v>5.2821848434153784</v>
      </c>
      <c r="L159" s="2">
        <f ca="1">Model_3!I159</f>
        <v>3.4246213778761709</v>
      </c>
      <c r="M159" s="2">
        <f>Model_4!I159</f>
        <v>14.941246938863577</v>
      </c>
      <c r="N159" s="2">
        <f>Model_1!J159</f>
        <v>1000</v>
      </c>
      <c r="O159" s="2">
        <f>Model_2!J159</f>
        <v>1000</v>
      </c>
      <c r="P159" s="2">
        <f>Model_3!J159</f>
        <v>1000</v>
      </c>
      <c r="Q159" s="2">
        <f>Model_4!J159</f>
        <v>400</v>
      </c>
      <c r="R159" s="2">
        <f>Model_1!K159</f>
        <v>2.0000334557037132</v>
      </c>
      <c r="S159" s="2">
        <f>Model_2!K159</f>
        <v>1.5821417431973965</v>
      </c>
      <c r="T159" s="2">
        <f ca="1">Model_3!K159</f>
        <v>1.707604974899563</v>
      </c>
      <c r="U159" s="2">
        <f>Model_4!K159</f>
        <v>0.69743375513277928</v>
      </c>
      <c r="V159" s="2">
        <f>Model_1!L159</f>
        <v>50</v>
      </c>
      <c r="W159" s="2">
        <f>Model_2!L159</f>
        <v>50</v>
      </c>
      <c r="X159" s="2">
        <f ca="1">Model_3!L159</f>
        <v>49.999999999999993</v>
      </c>
      <c r="Y159" s="2">
        <f>Model_4!L159</f>
        <v>50</v>
      </c>
      <c r="Z159" s="2">
        <f>Model_1!M159</f>
        <v>100.00167278518566</v>
      </c>
      <c r="AA159" s="2">
        <f>Model_2!M159</f>
        <v>79.10708715986982</v>
      </c>
      <c r="AB159" s="2">
        <f ca="1">Model_3!M159</f>
        <v>85.380248744978132</v>
      </c>
      <c r="AC159" s="2">
        <f>Model_4!M159</f>
        <v>34.871687756638963</v>
      </c>
      <c r="AD159" s="2">
        <f>Model_1!N159</f>
        <v>1.0000167278518566</v>
      </c>
      <c r="AE159" s="2">
        <f>Model_2!N159</f>
        <v>0.79107087159869816</v>
      </c>
      <c r="AF159" s="2">
        <f ca="1">Model_3!N159</f>
        <v>0.85380248744978138</v>
      </c>
      <c r="AG159" s="2">
        <f>Model_4!N159</f>
        <v>0.34871687756638964</v>
      </c>
    </row>
    <row r="160" spans="1:33" x14ac:dyDescent="0.3">
      <c r="A160" s="1">
        <v>158</v>
      </c>
      <c r="B160" s="2">
        <f>Model_1!G160</f>
        <v>4.7172444521237367E-4</v>
      </c>
      <c r="C160" s="2">
        <f>Model_2!G160</f>
        <v>0</v>
      </c>
      <c r="D160" s="2">
        <f ca="1">Model_3!G160</f>
        <v>10.417712171090091</v>
      </c>
      <c r="E160" s="2">
        <f>Model_4!G160</f>
        <v>0</v>
      </c>
      <c r="F160" s="2">
        <f>Model_1!H160</f>
        <v>499.99213804953558</v>
      </c>
      <c r="G160" s="2">
        <f>Model_2!H160</f>
        <v>626.77243624196899</v>
      </c>
      <c r="H160" s="2">
        <f ca="1">Model_3!H160</f>
        <v>582.19091306902806</v>
      </c>
      <c r="I160" s="2">
        <f>Model_4!H160</f>
        <v>558.58992653272571</v>
      </c>
      <c r="J160" s="2">
        <f>Model_1!I160</f>
        <v>0</v>
      </c>
      <c r="K160" s="2">
        <f>Model_2!I160</f>
        <v>5.0708974496787587</v>
      </c>
      <c r="L160" s="2">
        <f ca="1">Model_3!I160</f>
        <v>3.2876365227611215</v>
      </c>
      <c r="M160" s="2">
        <f>Model_4!I160</f>
        <v>14.34359706130903</v>
      </c>
      <c r="N160" s="2">
        <f>Model_1!J160</f>
        <v>1000</v>
      </c>
      <c r="O160" s="2">
        <f>Model_2!J160</f>
        <v>1000</v>
      </c>
      <c r="P160" s="2">
        <f>Model_3!J160</f>
        <v>1000</v>
      </c>
      <c r="Q160" s="2">
        <f>Model_4!J160</f>
        <v>400</v>
      </c>
      <c r="R160" s="2">
        <f>Model_1!K160</f>
        <v>2.0000314482963475</v>
      </c>
      <c r="S160" s="2">
        <f>Model_2!K160</f>
        <v>1.5954753945400759</v>
      </c>
      <c r="T160" s="2">
        <f ca="1">Model_3!K160</f>
        <v>1.7176496189686046</v>
      </c>
      <c r="U160" s="2">
        <f>Model_4!K160</f>
        <v>0.71608881757477505</v>
      </c>
      <c r="V160" s="2">
        <f>Model_1!L160</f>
        <v>50</v>
      </c>
      <c r="W160" s="2">
        <f>Model_2!L160</f>
        <v>50</v>
      </c>
      <c r="X160" s="2">
        <f ca="1">Model_3!L160</f>
        <v>50</v>
      </c>
      <c r="Y160" s="2">
        <f>Model_4!L160</f>
        <v>50</v>
      </c>
      <c r="Z160" s="2">
        <f>Model_1!M160</f>
        <v>100.00157241481737</v>
      </c>
      <c r="AA160" s="2">
        <f>Model_2!M160</f>
        <v>79.773769727003796</v>
      </c>
      <c r="AB160" s="2">
        <f ca="1">Model_3!M160</f>
        <v>85.882480948430228</v>
      </c>
      <c r="AC160" s="2">
        <f>Model_4!M160</f>
        <v>35.804440878738752</v>
      </c>
      <c r="AD160" s="2">
        <f>Model_1!N160</f>
        <v>1.0000157241481737</v>
      </c>
      <c r="AE160" s="2">
        <f>Model_2!N160</f>
        <v>0.79773769727003796</v>
      </c>
      <c r="AF160" s="2">
        <f ca="1">Model_3!N160</f>
        <v>0.85882480948430229</v>
      </c>
      <c r="AG160" s="2">
        <f>Model_4!N160</f>
        <v>0.35804440878738752</v>
      </c>
    </row>
    <row r="161" spans="1:33" x14ac:dyDescent="0.3">
      <c r="A161" s="1">
        <v>159</v>
      </c>
      <c r="B161" s="2">
        <f>Model_1!G161</f>
        <v>4.4342011510600798E-4</v>
      </c>
      <c r="C161" s="2">
        <f>Model_2!G161</f>
        <v>13.765972261537854</v>
      </c>
      <c r="D161" s="2">
        <f ca="1">Model_3!G161</f>
        <v>0</v>
      </c>
      <c r="E161" s="2">
        <f>Model_4!G161</f>
        <v>0</v>
      </c>
      <c r="F161" s="2">
        <f>Model_1!H161</f>
        <v>499.9926097739808</v>
      </c>
      <c r="G161" s="2">
        <f>Model_2!H161</f>
        <v>621.70153879229019</v>
      </c>
      <c r="H161" s="2">
        <f ca="1">Model_3!H161</f>
        <v>589.32098871735707</v>
      </c>
      <c r="I161" s="2">
        <f>Model_4!H161</f>
        <v>544.24632947141663</v>
      </c>
      <c r="J161" s="2">
        <f>Model_1!I161</f>
        <v>0</v>
      </c>
      <c r="K161" s="2">
        <f>Model_2!I161</f>
        <v>0</v>
      </c>
      <c r="L161" s="2">
        <f ca="1">Model_3!I161</f>
        <v>0</v>
      </c>
      <c r="M161" s="2">
        <f>Model_4!I161</f>
        <v>13.769853178856664</v>
      </c>
      <c r="N161" s="2">
        <f>Model_1!J161</f>
        <v>1000</v>
      </c>
      <c r="O161" s="2">
        <f>Model_2!J161</f>
        <v>1600</v>
      </c>
      <c r="P161" s="2">
        <f>Model_3!J161</f>
        <v>1600</v>
      </c>
      <c r="Q161" s="2">
        <f>Model_4!J161</f>
        <v>400</v>
      </c>
      <c r="R161" s="2">
        <f>Model_1!K161</f>
        <v>2.0000295613410066</v>
      </c>
      <c r="S161" s="2">
        <f>Model_2!K161</f>
        <v>2.5735821775640777</v>
      </c>
      <c r="T161" s="2">
        <f ca="1">Model_3!K161</f>
        <v>2.7149889968832799</v>
      </c>
      <c r="U161" s="2">
        <f>Model_4!K161</f>
        <v>0.73496131868907288</v>
      </c>
      <c r="V161" s="2">
        <f>Model_1!L161</f>
        <v>50.000000000000014</v>
      </c>
      <c r="W161" s="2">
        <f>Model_2!L161</f>
        <v>49.999999999999993</v>
      </c>
      <c r="X161" s="2">
        <f ca="1">Model_3!L161</f>
        <v>50</v>
      </c>
      <c r="Y161" s="2">
        <f>Model_4!L161</f>
        <v>50</v>
      </c>
      <c r="Z161" s="2">
        <f>Model_1!M161</f>
        <v>100.00147806705036</v>
      </c>
      <c r="AA161" s="2">
        <f>Model_2!M161</f>
        <v>128.67910887820386</v>
      </c>
      <c r="AB161" s="2">
        <f ca="1">Model_3!M161</f>
        <v>135.74944984416399</v>
      </c>
      <c r="AC161" s="2">
        <f>Model_4!M161</f>
        <v>36.748065934453642</v>
      </c>
      <c r="AD161" s="2">
        <f>Model_1!N161</f>
        <v>1.0000147806705035</v>
      </c>
      <c r="AE161" s="2">
        <f>Model_2!N161</f>
        <v>1.2867910887820386</v>
      </c>
      <c r="AF161" s="2">
        <f ca="1">Model_3!N161</f>
        <v>1.3574944984416399</v>
      </c>
      <c r="AG161" s="2">
        <f>Model_4!N161</f>
        <v>0.36748065934453644</v>
      </c>
    </row>
    <row r="162" spans="1:33" x14ac:dyDescent="0.3">
      <c r="A162" s="1">
        <v>160</v>
      </c>
      <c r="B162" s="2">
        <f>Model_1!G162</f>
        <v>4.1681414529870509E-4</v>
      </c>
      <c r="C162" s="2">
        <f>Model_2!G162</f>
        <v>0</v>
      </c>
      <c r="D162" s="2">
        <f ca="1">Model_3!G162</f>
        <v>0</v>
      </c>
      <c r="E162" s="2">
        <f>Model_4!G162</f>
        <v>0</v>
      </c>
      <c r="F162" s="2">
        <f>Model_1!H162</f>
        <v>499.99305319409592</v>
      </c>
      <c r="G162" s="2">
        <f>Model_2!H162</f>
        <v>635.46751105382805</v>
      </c>
      <c r="H162" s="2">
        <f ca="1">Model_3!H162</f>
        <v>589.32098871735707</v>
      </c>
      <c r="I162" s="2">
        <f>Model_4!H162</f>
        <v>530.47647629255994</v>
      </c>
      <c r="J162" s="2">
        <f>Model_1!I162</f>
        <v>0</v>
      </c>
      <c r="K162" s="2">
        <f>Model_2!I162</f>
        <v>5.4187004421531215</v>
      </c>
      <c r="L162" s="2">
        <f ca="1">Model_3!I162</f>
        <v>3.572839548694283</v>
      </c>
      <c r="M162" s="2">
        <f>Model_4!I162</f>
        <v>13.219059051702397</v>
      </c>
      <c r="N162" s="2">
        <f>Model_1!J162</f>
        <v>1000</v>
      </c>
      <c r="O162" s="2">
        <f>Model_2!J162</f>
        <v>1000</v>
      </c>
      <c r="P162" s="2">
        <f>Model_3!J162</f>
        <v>1000</v>
      </c>
      <c r="Q162" s="2">
        <f>Model_4!J162</f>
        <v>400</v>
      </c>
      <c r="R162" s="2">
        <f>Model_1!K162</f>
        <v>2.0000277876096866</v>
      </c>
      <c r="S162" s="2">
        <f>Model_2!K162</f>
        <v>1.5736445728620323</v>
      </c>
      <c r="T162" s="2">
        <f ca="1">Model_3!K162</f>
        <v>1.6968681230520499</v>
      </c>
      <c r="U162" s="2">
        <f>Model_4!K162</f>
        <v>0.75403909103671241</v>
      </c>
      <c r="V162" s="2">
        <f>Model_1!L162</f>
        <v>50</v>
      </c>
      <c r="W162" s="2">
        <f>Model_2!L162</f>
        <v>50</v>
      </c>
      <c r="X162" s="2">
        <f ca="1">Model_3!L162</f>
        <v>50</v>
      </c>
      <c r="Y162" s="2">
        <f>Model_4!L162</f>
        <v>50</v>
      </c>
      <c r="Z162" s="2">
        <f>Model_1!M162</f>
        <v>100.00138938048433</v>
      </c>
      <c r="AA162" s="2">
        <f>Model_2!M162</f>
        <v>78.68222864310161</v>
      </c>
      <c r="AB162" s="2">
        <f ca="1">Model_3!M162</f>
        <v>84.843406152602498</v>
      </c>
      <c r="AC162" s="2">
        <f>Model_4!M162</f>
        <v>37.70195455183562</v>
      </c>
      <c r="AD162" s="2">
        <f>Model_1!N162</f>
        <v>1.0000138938048433</v>
      </c>
      <c r="AE162" s="2">
        <f>Model_2!N162</f>
        <v>0.78682228643101615</v>
      </c>
      <c r="AF162" s="2">
        <f ca="1">Model_3!N162</f>
        <v>0.84843406152602496</v>
      </c>
      <c r="AG162" s="2">
        <f>Model_4!N162</f>
        <v>0.3770195455183562</v>
      </c>
    </row>
    <row r="163" spans="1:33" x14ac:dyDescent="0.3">
      <c r="A163" s="1">
        <v>161</v>
      </c>
      <c r="B163" s="2">
        <f>Model_1!G163</f>
        <v>3.9180462249266412E-4</v>
      </c>
      <c r="C163" s="2">
        <f>Model_2!G163</f>
        <v>0</v>
      </c>
      <c r="D163" s="2">
        <f ca="1">Model_3!G163</f>
        <v>4.393007759035803</v>
      </c>
      <c r="E163" s="2">
        <f>Model_4!G163</f>
        <v>26.237698136514663</v>
      </c>
      <c r="F163" s="2">
        <f>Model_1!H163</f>
        <v>499.99347000824122</v>
      </c>
      <c r="G163" s="2">
        <f>Model_2!H163</f>
        <v>630.04881061167498</v>
      </c>
      <c r="H163" s="2">
        <f ca="1">Model_3!H163</f>
        <v>585.74814916866274</v>
      </c>
      <c r="I163" s="2">
        <f>Model_4!H163</f>
        <v>517.25741724085754</v>
      </c>
      <c r="J163" s="2">
        <f>Model_1!I163</f>
        <v>0</v>
      </c>
      <c r="K163" s="2">
        <f>Model_2!I163</f>
        <v>17.201952424466999</v>
      </c>
      <c r="L163" s="2">
        <f ca="1">Model_3!I163</f>
        <v>15.429925966746508</v>
      </c>
      <c r="M163" s="2">
        <f>Model_4!I163</f>
        <v>0</v>
      </c>
      <c r="N163" s="2">
        <f>Model_1!J163</f>
        <v>1000</v>
      </c>
      <c r="O163" s="2">
        <f>Model_2!J163</f>
        <v>400</v>
      </c>
      <c r="P163" s="2">
        <f>Model_3!J163</f>
        <v>400</v>
      </c>
      <c r="Q163" s="2">
        <f>Model_4!J163</f>
        <v>1600</v>
      </c>
      <c r="R163" s="2">
        <f>Model_1!K163</f>
        <v>2.0000261203081657</v>
      </c>
      <c r="S163" s="2">
        <f>Model_2!K163</f>
        <v>0.63487144688308361</v>
      </c>
      <c r="T163" s="2">
        <f ca="1">Model_3!K163</f>
        <v>0.68288734768980441</v>
      </c>
      <c r="U163" s="2">
        <f>Model_4!K163</f>
        <v>3</v>
      </c>
      <c r="V163" s="2">
        <f>Model_1!L163</f>
        <v>50.000000000000014</v>
      </c>
      <c r="W163" s="2">
        <f>Model_2!L163</f>
        <v>50</v>
      </c>
      <c r="X163" s="2">
        <f ca="1">Model_3!L163</f>
        <v>50</v>
      </c>
      <c r="Y163" s="2">
        <f>Model_4!L163</f>
        <v>51.553957039246299</v>
      </c>
      <c r="Z163" s="2">
        <f>Model_1!M163</f>
        <v>100.00130601540832</v>
      </c>
      <c r="AA163" s="2">
        <f>Model_2!M163</f>
        <v>31.743572344154181</v>
      </c>
      <c r="AB163" s="2">
        <f ca="1">Model_3!M163</f>
        <v>34.144367384490224</v>
      </c>
      <c r="AC163" s="2">
        <f>Model_4!M163</f>
        <v>154.66187111773888</v>
      </c>
      <c r="AD163" s="2">
        <f>Model_1!N163</f>
        <v>1.0000130601540831</v>
      </c>
      <c r="AE163" s="2">
        <f>Model_2!N163</f>
        <v>0.31743572344154181</v>
      </c>
      <c r="AF163" s="2">
        <f ca="1">Model_3!N163</f>
        <v>0.34144367384490226</v>
      </c>
      <c r="AG163" s="2">
        <f>Model_4!N163</f>
        <v>1.5466187111773888</v>
      </c>
    </row>
    <row r="164" spans="1:33" x14ac:dyDescent="0.3">
      <c r="A164" s="1">
        <v>162</v>
      </c>
      <c r="B164" s="2">
        <f>Model_1!G164</f>
        <v>3.6829574951768862E-4</v>
      </c>
      <c r="C164" s="2">
        <f>Model_2!G164</f>
        <v>14.658394159980908</v>
      </c>
      <c r="D164" s="2">
        <f ca="1">Model_3!G164</f>
        <v>0</v>
      </c>
      <c r="E164" s="2">
        <f>Model_4!G164</f>
        <v>22.653808863281544</v>
      </c>
      <c r="F164" s="2">
        <f>Model_1!H164</f>
        <v>499.99386181286371</v>
      </c>
      <c r="G164" s="2">
        <f>Model_2!H164</f>
        <v>612.846858187208</v>
      </c>
      <c r="H164" s="2">
        <f ca="1">Model_3!H164</f>
        <v>574.71123096095198</v>
      </c>
      <c r="I164" s="2">
        <f>Model_4!H164</f>
        <v>543.49511537737214</v>
      </c>
      <c r="J164" s="2">
        <f>Model_1!I164</f>
        <v>0</v>
      </c>
      <c r="K164" s="2">
        <f>Model_2!I164</f>
        <v>0</v>
      </c>
      <c r="L164" s="2">
        <f ca="1">Model_3!I164</f>
        <v>0</v>
      </c>
      <c r="M164" s="2">
        <f>Model_4!I164</f>
        <v>0</v>
      </c>
      <c r="N164" s="2">
        <f>Model_1!J164</f>
        <v>1000</v>
      </c>
      <c r="O164" s="2">
        <f>Model_2!J164</f>
        <v>1600</v>
      </c>
      <c r="P164" s="2">
        <f>Model_3!J164</f>
        <v>1600</v>
      </c>
      <c r="Q164" s="2">
        <f>Model_4!J164</f>
        <v>1600</v>
      </c>
      <c r="R164" s="2">
        <f>Model_1!K164</f>
        <v>2.0000245530499674</v>
      </c>
      <c r="S164" s="2">
        <f>Model_2!K164</f>
        <v>2.6107664233325378</v>
      </c>
      <c r="T164" s="2">
        <f ca="1">Model_3!K164</f>
        <v>2.7840068434450167</v>
      </c>
      <c r="U164" s="2">
        <f>Model_4!K164</f>
        <v>2.943908702636731</v>
      </c>
      <c r="V164" s="2">
        <f>Model_1!L164</f>
        <v>50.000000000000014</v>
      </c>
      <c r="W164" s="2">
        <f>Model_2!L164</f>
        <v>50</v>
      </c>
      <c r="X164" s="2">
        <f ca="1">Model_3!L164</f>
        <v>50.000000000000014</v>
      </c>
      <c r="Y164" s="2">
        <f>Model_4!L164</f>
        <v>50</v>
      </c>
      <c r="Z164" s="2">
        <f>Model_1!M164</f>
        <v>100.0012276524984</v>
      </c>
      <c r="AA164" s="2">
        <f>Model_2!M164</f>
        <v>130.5383211666269</v>
      </c>
      <c r="AB164" s="2">
        <f ca="1">Model_3!M164</f>
        <v>139.20034217225088</v>
      </c>
      <c r="AC164" s="2">
        <f>Model_4!M164</f>
        <v>147.19543513183655</v>
      </c>
      <c r="AD164" s="2">
        <f>Model_1!N164</f>
        <v>1.0000122765249839</v>
      </c>
      <c r="AE164" s="2">
        <f>Model_2!N164</f>
        <v>1.3053832116662689</v>
      </c>
      <c r="AF164" s="2">
        <f ca="1">Model_3!N164</f>
        <v>1.3920034217225088</v>
      </c>
      <c r="AG164" s="2">
        <f>Model_4!N164</f>
        <v>1.4719543513183655</v>
      </c>
    </row>
    <row r="165" spans="1:33" x14ac:dyDescent="0.3">
      <c r="A165" s="1">
        <v>163</v>
      </c>
      <c r="B165" s="2">
        <f>Model_1!G165</f>
        <v>3.4619747824482516E-4</v>
      </c>
      <c r="C165" s="2">
        <f>Model_2!G165</f>
        <v>0</v>
      </c>
      <c r="D165" s="2">
        <f ca="1">Model_3!G165</f>
        <v>0</v>
      </c>
      <c r="E165" s="2">
        <f>Model_4!G165</f>
        <v>19.826676614291788</v>
      </c>
      <c r="F165" s="2">
        <f>Model_1!H165</f>
        <v>499.99423010861324</v>
      </c>
      <c r="G165" s="2">
        <f>Model_2!H165</f>
        <v>627.50525234718896</v>
      </c>
      <c r="H165" s="2">
        <f ca="1">Model_3!H165</f>
        <v>574.71123096095198</v>
      </c>
      <c r="I165" s="2">
        <f>Model_4!H165</f>
        <v>566.14892424065374</v>
      </c>
      <c r="J165" s="2">
        <f>Model_1!I165</f>
        <v>0</v>
      </c>
      <c r="K165" s="2">
        <f>Model_2!I165</f>
        <v>5.1002100938875579</v>
      </c>
      <c r="L165" s="2">
        <f ca="1">Model_3!I165</f>
        <v>2.9884492384380756</v>
      </c>
      <c r="M165" s="2">
        <f>Model_4!I165</f>
        <v>0</v>
      </c>
      <c r="N165" s="2">
        <f>Model_1!J165</f>
        <v>1000</v>
      </c>
      <c r="O165" s="2">
        <f>Model_2!J165</f>
        <v>1000</v>
      </c>
      <c r="P165" s="2">
        <f>Model_3!J165</f>
        <v>1000</v>
      </c>
      <c r="Q165" s="2">
        <f>Model_4!J165</f>
        <v>1600</v>
      </c>
      <c r="R165" s="2">
        <f>Model_1!K165</f>
        <v>2.0000230798318834</v>
      </c>
      <c r="S165" s="2">
        <f>Model_2!K165</f>
        <v>1.5936121590369023</v>
      </c>
      <c r="T165" s="2">
        <f ca="1">Model_3!K165</f>
        <v>1.7400042771531357</v>
      </c>
      <c r="U165" s="2">
        <f>Model_4!K165</f>
        <v>2.8261115255954912</v>
      </c>
      <c r="V165" s="2">
        <f>Model_1!L165</f>
        <v>49.999999999999993</v>
      </c>
      <c r="W165" s="2">
        <f>Model_2!L165</f>
        <v>50</v>
      </c>
      <c r="X165" s="2">
        <f ca="1">Model_3!L165</f>
        <v>50</v>
      </c>
      <c r="Y165" s="2">
        <f>Model_4!L165</f>
        <v>50</v>
      </c>
      <c r="Z165" s="2">
        <f>Model_1!M165</f>
        <v>100.00115399159415</v>
      </c>
      <c r="AA165" s="2">
        <f>Model_2!M165</f>
        <v>79.680607951845118</v>
      </c>
      <c r="AB165" s="2">
        <f ca="1">Model_3!M165</f>
        <v>87.000213857656789</v>
      </c>
      <c r="AC165" s="2">
        <f>Model_4!M165</f>
        <v>141.30557627977456</v>
      </c>
      <c r="AD165" s="2">
        <f>Model_1!N165</f>
        <v>1.0000115399159415</v>
      </c>
      <c r="AE165" s="2">
        <f>Model_2!N165</f>
        <v>0.79680607951845117</v>
      </c>
      <c r="AF165" s="2">
        <f ca="1">Model_3!N165</f>
        <v>0.87000213857656794</v>
      </c>
      <c r="AG165" s="2">
        <f>Model_4!N165</f>
        <v>1.4130557627977456</v>
      </c>
    </row>
    <row r="166" spans="1:33" x14ac:dyDescent="0.3">
      <c r="A166" s="1">
        <v>164</v>
      </c>
      <c r="B166" s="2">
        <f>Model_1!G166</f>
        <v>3.2542516453570869E-4</v>
      </c>
      <c r="C166" s="2">
        <f>Model_2!G166</f>
        <v>0</v>
      </c>
      <c r="D166" s="2">
        <f ca="1">Model_3!G166</f>
        <v>10.724834953249198</v>
      </c>
      <c r="E166" s="2">
        <f>Model_4!G166</f>
        <v>17.531738768600494</v>
      </c>
      <c r="F166" s="2">
        <f>Model_1!H166</f>
        <v>499.99457630609146</v>
      </c>
      <c r="G166" s="2">
        <f>Model_2!H166</f>
        <v>622.40504225330142</v>
      </c>
      <c r="H166" s="2">
        <f ca="1">Model_3!H166</f>
        <v>571.7227817225139</v>
      </c>
      <c r="I166" s="2">
        <f>Model_4!H166</f>
        <v>585.97560085494558</v>
      </c>
      <c r="J166" s="2">
        <f>Model_1!I166</f>
        <v>0</v>
      </c>
      <c r="K166" s="2">
        <f>Model_2!I166</f>
        <v>4.8962016901320551</v>
      </c>
      <c r="L166" s="2">
        <f ca="1">Model_3!I166</f>
        <v>2.8689112689005549</v>
      </c>
      <c r="M166" s="2">
        <f>Model_4!I166</f>
        <v>0</v>
      </c>
      <c r="N166" s="2">
        <f>Model_1!J166</f>
        <v>1000</v>
      </c>
      <c r="O166" s="2">
        <f>Model_2!J166</f>
        <v>1000</v>
      </c>
      <c r="P166" s="2">
        <f>Model_3!J166</f>
        <v>1000</v>
      </c>
      <c r="Q166" s="2">
        <f>Model_4!J166</f>
        <v>1600</v>
      </c>
      <c r="R166" s="2">
        <f>Model_1!K166</f>
        <v>2.0000216950109682</v>
      </c>
      <c r="S166" s="2">
        <f>Model_2!K166</f>
        <v>1.6066707884943965</v>
      </c>
      <c r="T166" s="2">
        <f ca="1">Model_3!K166</f>
        <v>1.7490994446419503</v>
      </c>
      <c r="U166" s="2">
        <f>Model_4!K166</f>
        <v>2.7304891153583535</v>
      </c>
      <c r="V166" s="2">
        <f>Model_1!L166</f>
        <v>50.000000000000014</v>
      </c>
      <c r="W166" s="2">
        <f>Model_2!L166</f>
        <v>50</v>
      </c>
      <c r="X166" s="2">
        <f ca="1">Model_3!L166</f>
        <v>50</v>
      </c>
      <c r="Y166" s="2">
        <f>Model_4!L166</f>
        <v>50</v>
      </c>
      <c r="Z166" s="2">
        <f>Model_1!M166</f>
        <v>100.00108475054844</v>
      </c>
      <c r="AA166" s="2">
        <f>Model_2!M166</f>
        <v>80.333539424719831</v>
      </c>
      <c r="AB166" s="2">
        <f ca="1">Model_3!M166</f>
        <v>87.454972232097518</v>
      </c>
      <c r="AC166" s="2">
        <f>Model_4!M166</f>
        <v>136.52445576791769</v>
      </c>
      <c r="AD166" s="2">
        <f>Model_1!N166</f>
        <v>1.0000108475054845</v>
      </c>
      <c r="AE166" s="2">
        <f>Model_2!N166</f>
        <v>0.80333539424719835</v>
      </c>
      <c r="AF166" s="2">
        <f ca="1">Model_3!N166</f>
        <v>0.87454972232097516</v>
      </c>
      <c r="AG166" s="2">
        <f>Model_4!N166</f>
        <v>1.365244557679177</v>
      </c>
    </row>
    <row r="167" spans="1:33" x14ac:dyDescent="0.3">
      <c r="A167" s="1">
        <v>165</v>
      </c>
      <c r="B167" s="2">
        <f>Model_1!G167</f>
        <v>3.0589924375545863E-4</v>
      </c>
      <c r="C167" s="2">
        <f>Model_2!G167</f>
        <v>14.18534452879916</v>
      </c>
      <c r="D167" s="2">
        <f ca="1">Model_3!G167</f>
        <v>0</v>
      </c>
      <c r="E167" s="2">
        <f>Model_4!G167</f>
        <v>15.628057985099293</v>
      </c>
      <c r="F167" s="2">
        <f>Model_1!H167</f>
        <v>499.99490173125599</v>
      </c>
      <c r="G167" s="2">
        <f>Model_2!H167</f>
        <v>617.50884056316931</v>
      </c>
      <c r="H167" s="2">
        <f ca="1">Model_3!H167</f>
        <v>579.57870540686258</v>
      </c>
      <c r="I167" s="2">
        <f>Model_4!H167</f>
        <v>603.50733962354605</v>
      </c>
      <c r="J167" s="2">
        <f>Model_1!I167</f>
        <v>0</v>
      </c>
      <c r="K167" s="2">
        <f>Model_2!I167</f>
        <v>0</v>
      </c>
      <c r="L167" s="2">
        <f ca="1">Model_3!I167</f>
        <v>0</v>
      </c>
      <c r="M167" s="2">
        <f>Model_4!I167</f>
        <v>0</v>
      </c>
      <c r="N167" s="2">
        <f>Model_1!J167</f>
        <v>1000</v>
      </c>
      <c r="O167" s="2">
        <f>Model_2!J167</f>
        <v>1600</v>
      </c>
      <c r="P167" s="2">
        <f>Model_3!J167</f>
        <v>1600</v>
      </c>
      <c r="Q167" s="2">
        <f>Model_4!J167</f>
        <v>1600</v>
      </c>
      <c r="R167" s="2">
        <f>Model_1!K167</f>
        <v>2.000020393282917</v>
      </c>
      <c r="S167" s="2">
        <f>Model_2!K167</f>
        <v>2.5910560220332988</v>
      </c>
      <c r="T167" s="2">
        <f ca="1">Model_3!K167</f>
        <v>2.7606259254759964</v>
      </c>
      <c r="U167" s="2">
        <f>Model_4!K167</f>
        <v>2.6511690827124705</v>
      </c>
      <c r="V167" s="2">
        <f>Model_1!L167</f>
        <v>49.999999999999993</v>
      </c>
      <c r="W167" s="2">
        <f>Model_2!L167</f>
        <v>50</v>
      </c>
      <c r="X167" s="2">
        <f ca="1">Model_3!L167</f>
        <v>50</v>
      </c>
      <c r="Y167" s="2">
        <f>Model_4!L167</f>
        <v>50</v>
      </c>
      <c r="Z167" s="2">
        <f>Model_1!M167</f>
        <v>100.00101966414584</v>
      </c>
      <c r="AA167" s="2">
        <f>Model_2!M167</f>
        <v>129.55280110166493</v>
      </c>
      <c r="AB167" s="2">
        <f ca="1">Model_3!M167</f>
        <v>138.03129627379982</v>
      </c>
      <c r="AC167" s="2">
        <f>Model_4!M167</f>
        <v>132.55845413562352</v>
      </c>
      <c r="AD167" s="2">
        <f>Model_1!N167</f>
        <v>1.0000101966414585</v>
      </c>
      <c r="AE167" s="2">
        <f>Model_2!N167</f>
        <v>1.2955280110166492</v>
      </c>
      <c r="AF167" s="2">
        <f ca="1">Model_3!N167</f>
        <v>1.3803129627379982</v>
      </c>
      <c r="AG167" s="2">
        <f>Model_4!N167</f>
        <v>1.3255845413562353</v>
      </c>
    </row>
    <row r="168" spans="1:33" x14ac:dyDescent="0.3">
      <c r="A168" s="1">
        <v>166</v>
      </c>
      <c r="B168" s="2">
        <f>Model_1!G168</f>
        <v>2.8754492605642668E-4</v>
      </c>
      <c r="C168" s="2">
        <f>Model_2!G168</f>
        <v>0</v>
      </c>
      <c r="D168" s="2">
        <f ca="1">Model_3!G168</f>
        <v>0</v>
      </c>
      <c r="E168" s="2">
        <f>Model_4!G168</f>
        <v>14.021974754337318</v>
      </c>
      <c r="F168" s="2">
        <f>Model_1!H168</f>
        <v>499.99520763049975</v>
      </c>
      <c r="G168" s="2">
        <f>Model_2!H168</f>
        <v>631.69418509196851</v>
      </c>
      <c r="H168" s="2">
        <f ca="1">Model_3!H168</f>
        <v>579.57870540686258</v>
      </c>
      <c r="I168" s="2">
        <f>Model_4!H168</f>
        <v>619.13539760864535</v>
      </c>
      <c r="J168" s="2">
        <f>Model_1!I168</f>
        <v>0</v>
      </c>
      <c r="K168" s="2">
        <f>Model_2!I168</f>
        <v>5.2677674036787394</v>
      </c>
      <c r="L168" s="2">
        <f ca="1">Model_3!I168</f>
        <v>3.1831482162745033</v>
      </c>
      <c r="M168" s="2">
        <f>Model_4!I168</f>
        <v>0</v>
      </c>
      <c r="N168" s="2">
        <f>Model_1!J168</f>
        <v>1000</v>
      </c>
      <c r="O168" s="2">
        <f>Model_2!J168</f>
        <v>1000</v>
      </c>
      <c r="P168" s="2">
        <f>Model_3!J168</f>
        <v>1000</v>
      </c>
      <c r="Q168" s="2">
        <f>Model_4!J168</f>
        <v>1600</v>
      </c>
      <c r="R168" s="2">
        <f>Model_1!K168</f>
        <v>2.0000191696617371</v>
      </c>
      <c r="S168" s="2">
        <f>Model_2!K168</f>
        <v>1.5830444914645048</v>
      </c>
      <c r="T168" s="2">
        <f ca="1">Model_3!K168</f>
        <v>1.7253912034224979</v>
      </c>
      <c r="U168" s="2">
        <f>Model_4!K168</f>
        <v>2.5842489480973883</v>
      </c>
      <c r="V168" s="2">
        <f>Model_1!L168</f>
        <v>50</v>
      </c>
      <c r="W168" s="2">
        <f>Model_2!L168</f>
        <v>50</v>
      </c>
      <c r="X168" s="2">
        <f ca="1">Model_3!L168</f>
        <v>50</v>
      </c>
      <c r="Y168" s="2">
        <f>Model_4!L168</f>
        <v>50</v>
      </c>
      <c r="Z168" s="2">
        <f>Model_1!M168</f>
        <v>100.00095848308686</v>
      </c>
      <c r="AA168" s="2">
        <f>Model_2!M168</f>
        <v>79.15222457322524</v>
      </c>
      <c r="AB168" s="2">
        <f ca="1">Model_3!M168</f>
        <v>86.269560171124894</v>
      </c>
      <c r="AC168" s="2">
        <f>Model_4!M168</f>
        <v>129.21244740486941</v>
      </c>
      <c r="AD168" s="2">
        <f>Model_1!N168</f>
        <v>1.0000095848308685</v>
      </c>
      <c r="AE168" s="2">
        <f>Model_2!N168</f>
        <v>0.79152224573225238</v>
      </c>
      <c r="AF168" s="2">
        <f ca="1">Model_3!N168</f>
        <v>0.86269560171124893</v>
      </c>
      <c r="AG168" s="2">
        <f>Model_4!N168</f>
        <v>1.2921244740486941</v>
      </c>
    </row>
    <row r="169" spans="1:33" x14ac:dyDescent="0.3">
      <c r="A169" s="1">
        <v>167</v>
      </c>
      <c r="B169" s="2">
        <f>Model_1!G169</f>
        <v>2.7029190968752559E-4</v>
      </c>
      <c r="C169" s="2">
        <f>Model_2!G169</f>
        <v>0</v>
      </c>
      <c r="D169" s="2">
        <f ca="1">Model_3!G169</f>
        <v>11.760102651675265</v>
      </c>
      <c r="E169" s="2">
        <f>Model_4!G169</f>
        <v>12.648429089104358</v>
      </c>
      <c r="F169" s="2">
        <f>Model_1!H169</f>
        <v>499.99549517542579</v>
      </c>
      <c r="G169" s="2">
        <f>Model_2!H169</f>
        <v>626.4264176882898</v>
      </c>
      <c r="H169" s="2">
        <f ca="1">Model_3!H169</f>
        <v>576.39555719058808</v>
      </c>
      <c r="I169" s="2">
        <f>Model_4!H169</f>
        <v>633.15737236298264</v>
      </c>
      <c r="J169" s="2">
        <f>Model_1!I169</f>
        <v>0</v>
      </c>
      <c r="K169" s="2">
        <f>Model_2!I169</f>
        <v>5.0570567075315944</v>
      </c>
      <c r="L169" s="2">
        <f ca="1">Model_3!I169</f>
        <v>3.0558222876235246</v>
      </c>
      <c r="M169" s="2">
        <f>Model_4!I169</f>
        <v>0</v>
      </c>
      <c r="N169" s="2">
        <f>Model_1!J169</f>
        <v>1000</v>
      </c>
      <c r="O169" s="2">
        <f>Model_2!J169</f>
        <v>1000</v>
      </c>
      <c r="P169" s="2">
        <f>Model_3!J169</f>
        <v>1000</v>
      </c>
      <c r="Q169" s="2">
        <f>Model_4!J169</f>
        <v>1600</v>
      </c>
      <c r="R169" s="2">
        <f>Model_1!K169</f>
        <v>2.0000180194606458</v>
      </c>
      <c r="S169" s="2">
        <f>Model_2!K169</f>
        <v>1.5963566857386284</v>
      </c>
      <c r="T169" s="2">
        <f ca="1">Model_3!K169</f>
        <v>1.7349196875737629</v>
      </c>
      <c r="U169" s="2">
        <f>Model_4!K169</f>
        <v>2.527017878712682</v>
      </c>
      <c r="V169" s="2">
        <f>Model_1!L169</f>
        <v>50</v>
      </c>
      <c r="W169" s="2">
        <f>Model_2!L169</f>
        <v>50</v>
      </c>
      <c r="X169" s="2">
        <f ca="1">Model_3!L169</f>
        <v>49.999999999999993</v>
      </c>
      <c r="Y169" s="2">
        <f>Model_4!L169</f>
        <v>49.999999999999993</v>
      </c>
      <c r="Z169" s="2">
        <f>Model_1!M169</f>
        <v>100.00090097303229</v>
      </c>
      <c r="AA169" s="2">
        <f>Model_2!M169</f>
        <v>79.817834286931415</v>
      </c>
      <c r="AB169" s="2">
        <f ca="1">Model_3!M169</f>
        <v>86.745984378688135</v>
      </c>
      <c r="AC169" s="2">
        <f>Model_4!M169</f>
        <v>126.35089393563408</v>
      </c>
      <c r="AD169" s="2">
        <f>Model_1!N169</f>
        <v>1.0000090097303229</v>
      </c>
      <c r="AE169" s="2">
        <f>Model_2!N169</f>
        <v>0.79817834286931411</v>
      </c>
      <c r="AF169" s="2">
        <f ca="1">Model_3!N169</f>
        <v>0.86745984378688135</v>
      </c>
      <c r="AG169" s="2">
        <f>Model_4!N169</f>
        <v>1.2635089393563408</v>
      </c>
    </row>
    <row r="170" spans="1:33" x14ac:dyDescent="0.3">
      <c r="A170" s="1">
        <v>168</v>
      </c>
      <c r="B170" s="2">
        <f>Model_1!G170</f>
        <v>2.5407411163635985E-4</v>
      </c>
      <c r="C170" s="2">
        <f>Model_2!G170</f>
        <v>13.798991729154672</v>
      </c>
      <c r="D170" s="2">
        <f ca="1">Model_3!G170</f>
        <v>0</v>
      </c>
      <c r="E170" s="2">
        <f>Model_4!G170</f>
        <v>11.460599322053213</v>
      </c>
      <c r="F170" s="2">
        <f>Model_1!H170</f>
        <v>499.9957654673355</v>
      </c>
      <c r="G170" s="2">
        <f>Model_2!H170</f>
        <v>621.36936098075819</v>
      </c>
      <c r="H170" s="2">
        <f ca="1">Model_3!H170</f>
        <v>585.09983755463986</v>
      </c>
      <c r="I170" s="2">
        <f>Model_4!H170</f>
        <v>645.80580145208705</v>
      </c>
      <c r="J170" s="2">
        <f>Model_1!I170</f>
        <v>0</v>
      </c>
      <c r="K170" s="2">
        <f>Model_2!I170</f>
        <v>0</v>
      </c>
      <c r="L170" s="2">
        <f ca="1">Model_3!I170</f>
        <v>0</v>
      </c>
      <c r="M170" s="2">
        <f>Model_4!I170</f>
        <v>0</v>
      </c>
      <c r="N170" s="2">
        <f>Model_1!J170</f>
        <v>1000</v>
      </c>
      <c r="O170" s="2">
        <f>Model_2!J170</f>
        <v>1600</v>
      </c>
      <c r="P170" s="2">
        <f>Model_3!J170</f>
        <v>1600</v>
      </c>
      <c r="Q170" s="2">
        <f>Model_4!J170</f>
        <v>1600</v>
      </c>
      <c r="R170" s="2">
        <f>Model_1!K170</f>
        <v>2.0000169382741095</v>
      </c>
      <c r="S170" s="2">
        <f>Model_2!K170</f>
        <v>2.574957988714778</v>
      </c>
      <c r="T170" s="2">
        <f ca="1">Model_3!K170</f>
        <v>2.7345760454951127</v>
      </c>
      <c r="U170" s="2">
        <f>Model_4!K170</f>
        <v>2.4775249717522172</v>
      </c>
      <c r="V170" s="2">
        <f>Model_1!L170</f>
        <v>49.999999999999993</v>
      </c>
      <c r="W170" s="2">
        <f>Model_2!L170</f>
        <v>50</v>
      </c>
      <c r="X170" s="2">
        <f ca="1">Model_3!L170</f>
        <v>50</v>
      </c>
      <c r="Y170" s="2">
        <f>Model_4!L170</f>
        <v>50</v>
      </c>
      <c r="Z170" s="2">
        <f>Model_1!M170</f>
        <v>100.00084691370546</v>
      </c>
      <c r="AA170" s="2">
        <f>Model_2!M170</f>
        <v>128.7478994357389</v>
      </c>
      <c r="AB170" s="2">
        <f ca="1">Model_3!M170</f>
        <v>136.72880227475562</v>
      </c>
      <c r="AC170" s="2">
        <f>Model_4!M170</f>
        <v>123.87624858761086</v>
      </c>
      <c r="AD170" s="2">
        <f>Model_1!N170</f>
        <v>1.0000084691370545</v>
      </c>
      <c r="AE170" s="2">
        <f>Model_2!N170</f>
        <v>1.287478994357389</v>
      </c>
      <c r="AF170" s="2">
        <f ca="1">Model_3!N170</f>
        <v>1.3672880227475561</v>
      </c>
      <c r="AG170" s="2">
        <f>Model_4!N170</f>
        <v>1.2387624858761086</v>
      </c>
    </row>
    <row r="171" spans="1:33" x14ac:dyDescent="0.3">
      <c r="A171" s="1">
        <v>169</v>
      </c>
      <c r="B171" s="2">
        <f>Model_1!G171</f>
        <v>2.3882941447173067E-4</v>
      </c>
      <c r="C171" s="2">
        <f>Model_2!G171</f>
        <v>0</v>
      </c>
      <c r="D171" s="2">
        <f ca="1">Model_3!G171</f>
        <v>0</v>
      </c>
      <c r="E171" s="2">
        <f>Model_4!G171</f>
        <v>10.423798865683356</v>
      </c>
      <c r="F171" s="2">
        <f>Model_1!H171</f>
        <v>499.99601954144714</v>
      </c>
      <c r="G171" s="2">
        <f>Model_2!H171</f>
        <v>635.16835270991282</v>
      </c>
      <c r="H171" s="2">
        <f ca="1">Model_3!H171</f>
        <v>585.09983755463986</v>
      </c>
      <c r="I171" s="2">
        <f>Model_4!H171</f>
        <v>657.26640077414027</v>
      </c>
      <c r="J171" s="2">
        <f>Model_1!I171</f>
        <v>0</v>
      </c>
      <c r="K171" s="2">
        <f>Model_2!I171</f>
        <v>5.4067341083965124</v>
      </c>
      <c r="L171" s="2">
        <f ca="1">Model_3!I171</f>
        <v>3.4039935021855943</v>
      </c>
      <c r="M171" s="2">
        <f>Model_4!I171</f>
        <v>0</v>
      </c>
      <c r="N171" s="2">
        <f>Model_1!J171</f>
        <v>1000</v>
      </c>
      <c r="O171" s="2">
        <f>Model_2!J171</f>
        <v>1000</v>
      </c>
      <c r="P171" s="2">
        <f>Model_3!J171</f>
        <v>1000</v>
      </c>
      <c r="Q171" s="2">
        <f>Model_4!J171</f>
        <v>1600</v>
      </c>
      <c r="R171" s="2">
        <f>Model_1!K171</f>
        <v>2.0000159219609648</v>
      </c>
      <c r="S171" s="2">
        <f>Model_2!K171</f>
        <v>1.5743857447140619</v>
      </c>
      <c r="T171" s="2">
        <f ca="1">Model_3!K171</f>
        <v>1.7091100284344456</v>
      </c>
      <c r="U171" s="2">
        <f>Model_4!K171</f>
        <v>2.4343249527368065</v>
      </c>
      <c r="V171" s="2">
        <f>Model_1!L171</f>
        <v>50</v>
      </c>
      <c r="W171" s="2">
        <f>Model_2!L171</f>
        <v>50</v>
      </c>
      <c r="X171" s="2">
        <f ca="1">Model_3!L171</f>
        <v>50</v>
      </c>
      <c r="Y171" s="2">
        <f>Model_4!L171</f>
        <v>50</v>
      </c>
      <c r="Z171" s="2">
        <f>Model_1!M171</f>
        <v>100.00079609804824</v>
      </c>
      <c r="AA171" s="2">
        <f>Model_2!M171</f>
        <v>78.719287235703092</v>
      </c>
      <c r="AB171" s="2">
        <f ca="1">Model_3!M171</f>
        <v>85.455501421722275</v>
      </c>
      <c r="AC171" s="2">
        <f>Model_4!M171</f>
        <v>121.71624763684032</v>
      </c>
      <c r="AD171" s="2">
        <f>Model_1!N171</f>
        <v>1.0000079609804824</v>
      </c>
      <c r="AE171" s="2">
        <f>Model_2!N171</f>
        <v>0.78719287235703095</v>
      </c>
      <c r="AF171" s="2">
        <f ca="1">Model_3!N171</f>
        <v>0.8545550142172228</v>
      </c>
      <c r="AG171" s="2">
        <f>Model_4!N171</f>
        <v>1.2171624763684032</v>
      </c>
    </row>
    <row r="172" spans="1:33" x14ac:dyDescent="0.3">
      <c r="A172" s="1">
        <v>170</v>
      </c>
      <c r="B172" s="2">
        <f>Model_1!G172</f>
        <v>2.2449942828739466E-4</v>
      </c>
      <c r="C172" s="2">
        <f>Model_2!G172</f>
        <v>0</v>
      </c>
      <c r="D172" s="2">
        <f ca="1">Model_3!G172</f>
        <v>11.409388882139947</v>
      </c>
      <c r="E172" s="2">
        <f>Model_4!G172</f>
        <v>9.5117023145080708</v>
      </c>
      <c r="F172" s="2">
        <f>Model_1!H172</f>
        <v>499.9962583708616</v>
      </c>
      <c r="G172" s="2">
        <f>Model_2!H172</f>
        <v>629.76161860151626</v>
      </c>
      <c r="H172" s="2">
        <f ca="1">Model_3!H172</f>
        <v>581.69584405245428</v>
      </c>
      <c r="I172" s="2">
        <f>Model_4!H172</f>
        <v>667.69019963982362</v>
      </c>
      <c r="J172" s="2">
        <f>Model_1!I172</f>
        <v>0</v>
      </c>
      <c r="K172" s="2">
        <f>Model_2!I172</f>
        <v>5.1904647440606508</v>
      </c>
      <c r="L172" s="2">
        <f ca="1">Model_3!I172</f>
        <v>3.2678337620981726</v>
      </c>
      <c r="M172" s="2">
        <f>Model_4!I172</f>
        <v>0</v>
      </c>
      <c r="N172" s="2">
        <f>Model_1!J172</f>
        <v>1000</v>
      </c>
      <c r="O172" s="2">
        <f>Model_2!J172</f>
        <v>1000</v>
      </c>
      <c r="P172" s="2">
        <f>Model_3!J172</f>
        <v>1000</v>
      </c>
      <c r="Q172" s="2">
        <f>Model_4!J172</f>
        <v>1600</v>
      </c>
      <c r="R172" s="2">
        <f>Model_1!K172</f>
        <v>2.0000149666285529</v>
      </c>
      <c r="S172" s="2">
        <f>Model_2!K172</f>
        <v>1.5879024228574865</v>
      </c>
      <c r="T172" s="2">
        <f ca="1">Model_3!K172</f>
        <v>1.7191114741913565</v>
      </c>
      <c r="U172" s="2">
        <f>Model_4!K172</f>
        <v>2.3963209297711696</v>
      </c>
      <c r="V172" s="2">
        <f>Model_1!L172</f>
        <v>49.999999999999993</v>
      </c>
      <c r="W172" s="2">
        <f>Model_2!L172</f>
        <v>50</v>
      </c>
      <c r="X172" s="2">
        <f ca="1">Model_3!L172</f>
        <v>49.999999999999993</v>
      </c>
      <c r="Y172" s="2">
        <f>Model_4!L172</f>
        <v>50</v>
      </c>
      <c r="Z172" s="2">
        <f>Model_1!M172</f>
        <v>100.00074833142763</v>
      </c>
      <c r="AA172" s="2">
        <f>Model_2!M172</f>
        <v>79.395121142874331</v>
      </c>
      <c r="AB172" s="2">
        <f ca="1">Model_3!M172</f>
        <v>85.955573709567815</v>
      </c>
      <c r="AC172" s="2">
        <f>Model_4!M172</f>
        <v>119.81604648855848</v>
      </c>
      <c r="AD172" s="2">
        <f>Model_1!N172</f>
        <v>1.0000074833142762</v>
      </c>
      <c r="AE172" s="2">
        <f>Model_2!N172</f>
        <v>0.79395121142874325</v>
      </c>
      <c r="AF172" s="2">
        <f ca="1">Model_3!N172</f>
        <v>0.85955573709567812</v>
      </c>
      <c r="AG172" s="2">
        <f>Model_4!N172</f>
        <v>1.1981604648855848</v>
      </c>
    </row>
    <row r="173" spans="1:33" x14ac:dyDescent="0.3">
      <c r="A173" s="1">
        <v>171</v>
      </c>
      <c r="B173" s="2">
        <f>Model_1!G173</f>
        <v>2.1102926704097413E-4</v>
      </c>
      <c r="C173" s="2">
        <f>Model_2!G173</f>
        <v>13.482186237445006</v>
      </c>
      <c r="D173" s="2">
        <f ca="1">Model_3!G173</f>
        <v>0</v>
      </c>
      <c r="E173" s="2">
        <f>Model_4!G173</f>
        <v>0</v>
      </c>
      <c r="F173" s="2">
        <f>Model_1!H173</f>
        <v>499.99648287028987</v>
      </c>
      <c r="G173" s="2">
        <f>Model_2!H173</f>
        <v>624.57115385745556</v>
      </c>
      <c r="H173" s="2">
        <f ca="1">Model_3!H173</f>
        <v>589.83739917249602</v>
      </c>
      <c r="I173" s="2">
        <f>Model_4!H173</f>
        <v>677.20190195433167</v>
      </c>
      <c r="J173" s="2">
        <f>Model_1!I173</f>
        <v>0</v>
      </c>
      <c r="K173" s="2">
        <f>Model_2!I173</f>
        <v>0</v>
      </c>
      <c r="L173" s="2">
        <f ca="1">Model_3!I173</f>
        <v>0</v>
      </c>
      <c r="M173" s="2">
        <f>Model_4!I173</f>
        <v>19.088076078173266</v>
      </c>
      <c r="N173" s="2">
        <f>Model_1!J173</f>
        <v>1000</v>
      </c>
      <c r="O173" s="2">
        <f>Model_2!J173</f>
        <v>1600</v>
      </c>
      <c r="P173" s="2">
        <f>Model_3!J173</f>
        <v>1600</v>
      </c>
      <c r="Q173" s="2">
        <f>Model_4!J173</f>
        <v>400</v>
      </c>
      <c r="R173" s="2">
        <f>Model_1!K173</f>
        <v>2.0000140686178027</v>
      </c>
      <c r="S173" s="2">
        <f>Model_2!K173</f>
        <v>2.5617577598935419</v>
      </c>
      <c r="T173" s="2">
        <f ca="1">Model_3!K173</f>
        <v>2.7126119880575517</v>
      </c>
      <c r="U173" s="2">
        <f>Model_4!K173</f>
        <v>0.59066579530512708</v>
      </c>
      <c r="V173" s="2">
        <f>Model_1!L173</f>
        <v>50</v>
      </c>
      <c r="W173" s="2">
        <f>Model_2!L173</f>
        <v>50</v>
      </c>
      <c r="X173" s="2">
        <f ca="1">Model_3!L173</f>
        <v>50</v>
      </c>
      <c r="Y173" s="2">
        <f>Model_4!L173</f>
        <v>50</v>
      </c>
      <c r="Z173" s="2">
        <f>Model_1!M173</f>
        <v>100.00070343089014</v>
      </c>
      <c r="AA173" s="2">
        <f>Model_2!M173</f>
        <v>128.08788799467709</v>
      </c>
      <c r="AB173" s="2">
        <f ca="1">Model_3!M173</f>
        <v>135.63059940287758</v>
      </c>
      <c r="AC173" s="2">
        <f>Model_4!M173</f>
        <v>29.533289765256356</v>
      </c>
      <c r="AD173" s="2">
        <f>Model_1!N173</f>
        <v>1.0000070343089014</v>
      </c>
      <c r="AE173" s="2">
        <f>Model_2!N173</f>
        <v>1.280878879946771</v>
      </c>
      <c r="AF173" s="2">
        <f ca="1">Model_3!N173</f>
        <v>1.3563059940287758</v>
      </c>
      <c r="AG173" s="2">
        <f>Model_4!N173</f>
        <v>0.29533289765256354</v>
      </c>
    </row>
    <row r="174" spans="1:33" x14ac:dyDescent="0.3">
      <c r="A174" s="1">
        <v>172</v>
      </c>
      <c r="B174" s="2">
        <f>Model_1!G174</f>
        <v>1.9836733822886643E-4</v>
      </c>
      <c r="C174" s="2">
        <f>Model_2!G174</f>
        <v>0</v>
      </c>
      <c r="D174" s="2">
        <f ca="1">Model_3!G174</f>
        <v>0</v>
      </c>
      <c r="E174" s="2">
        <f>Model_4!G174</f>
        <v>0</v>
      </c>
      <c r="F174" s="2">
        <f>Model_1!H174</f>
        <v>499.99669389955693</v>
      </c>
      <c r="G174" s="2">
        <f>Model_2!H174</f>
        <v>638.05334009490059</v>
      </c>
      <c r="H174" s="2">
        <f ca="1">Model_3!H174</f>
        <v>589.83739917249602</v>
      </c>
      <c r="I174" s="2">
        <f>Model_4!H174</f>
        <v>658.11382587615844</v>
      </c>
      <c r="J174" s="2">
        <f>Model_1!I174</f>
        <v>0</v>
      </c>
      <c r="K174" s="2">
        <f>Model_2!I174</f>
        <v>5.522133603796024</v>
      </c>
      <c r="L174" s="2">
        <f ca="1">Model_3!I174</f>
        <v>3.5934959668998401</v>
      </c>
      <c r="M174" s="2">
        <f>Model_4!I174</f>
        <v>18.324553035046335</v>
      </c>
      <c r="N174" s="2">
        <f>Model_1!J174</f>
        <v>1000</v>
      </c>
      <c r="O174" s="2">
        <f>Model_2!J174</f>
        <v>1000</v>
      </c>
      <c r="P174" s="2">
        <f>Model_3!J174</f>
        <v>1000</v>
      </c>
      <c r="Q174" s="2">
        <f>Model_4!J174</f>
        <v>400</v>
      </c>
      <c r="R174" s="2">
        <f>Model_1!K174</f>
        <v>2.0000132244892153</v>
      </c>
      <c r="S174" s="2">
        <f>Model_2!K174</f>
        <v>1.567267087499715</v>
      </c>
      <c r="T174" s="2">
        <f ca="1">Model_3!K174</f>
        <v>1.6953824925359697</v>
      </c>
      <c r="U174" s="2">
        <f>Model_4!K174</f>
        <v>0.60779759408256318</v>
      </c>
      <c r="V174" s="2">
        <f>Model_1!L174</f>
        <v>50</v>
      </c>
      <c r="W174" s="2">
        <f>Model_2!L174</f>
        <v>50</v>
      </c>
      <c r="X174" s="2">
        <f ca="1">Model_3!L174</f>
        <v>50</v>
      </c>
      <c r="Y174" s="2">
        <f>Model_4!L174</f>
        <v>50</v>
      </c>
      <c r="Z174" s="2">
        <f>Model_1!M174</f>
        <v>100.00066122446076</v>
      </c>
      <c r="AA174" s="2">
        <f>Model_2!M174</f>
        <v>78.363354374985747</v>
      </c>
      <c r="AB174" s="2">
        <f ca="1">Model_3!M174</f>
        <v>84.769124626798487</v>
      </c>
      <c r="AC174" s="2">
        <f>Model_4!M174</f>
        <v>30.389879704128159</v>
      </c>
      <c r="AD174" s="2">
        <f>Model_1!N174</f>
        <v>1.0000066122446076</v>
      </c>
      <c r="AE174" s="2">
        <f>Model_2!N174</f>
        <v>0.7836335437498575</v>
      </c>
      <c r="AF174" s="2">
        <f ca="1">Model_3!N174</f>
        <v>0.84769124626798487</v>
      </c>
      <c r="AG174" s="2">
        <f>Model_4!N174</f>
        <v>0.30389879704128159</v>
      </c>
    </row>
    <row r="175" spans="1:33" x14ac:dyDescent="0.3">
      <c r="A175" s="1">
        <v>173</v>
      </c>
      <c r="B175" s="2">
        <f>Model_1!G175</f>
        <v>1.8646514525766378E-4</v>
      </c>
      <c r="C175" s="2">
        <f>Model_2!G175</f>
        <v>0</v>
      </c>
      <c r="D175" s="2">
        <f ca="1">Model_3!G175</f>
        <v>11.018640682426684</v>
      </c>
      <c r="E175" s="2">
        <f>Model_4!G175</f>
        <v>0</v>
      </c>
      <c r="F175" s="2">
        <f>Model_1!H175</f>
        <v>499.99689226689514</v>
      </c>
      <c r="G175" s="2">
        <f>Model_2!H175</f>
        <v>632.53120649110451</v>
      </c>
      <c r="H175" s="2">
        <f ca="1">Model_3!H175</f>
        <v>586.24390320559621</v>
      </c>
      <c r="I175" s="2">
        <f>Model_4!H175</f>
        <v>639.78927284111205</v>
      </c>
      <c r="J175" s="2">
        <f>Model_1!I175</f>
        <v>0</v>
      </c>
      <c r="K175" s="2">
        <f>Model_2!I175</f>
        <v>5.3012482596441828</v>
      </c>
      <c r="L175" s="2">
        <f ca="1">Model_3!I175</f>
        <v>3.4497561282238496</v>
      </c>
      <c r="M175" s="2">
        <f>Model_4!I175</f>
        <v>17.591570913644482</v>
      </c>
      <c r="N175" s="2">
        <f>Model_1!J175</f>
        <v>1000</v>
      </c>
      <c r="O175" s="2">
        <f>Model_2!J175</f>
        <v>1000</v>
      </c>
      <c r="P175" s="2">
        <f>Model_3!J175</f>
        <v>1000</v>
      </c>
      <c r="Q175" s="2">
        <f>Model_4!J175</f>
        <v>400</v>
      </c>
      <c r="R175" s="2">
        <f>Model_1!K175</f>
        <v>2.0000124310096838</v>
      </c>
      <c r="S175" s="2">
        <f>Model_2!K175</f>
        <v>1.580949666574377</v>
      </c>
      <c r="T175" s="2">
        <f ca="1">Model_3!K175</f>
        <v>1.7057746690958748</v>
      </c>
      <c r="U175" s="2">
        <f>Model_4!K175</f>
        <v>0.62520585602149925</v>
      </c>
      <c r="V175" s="2">
        <f>Model_1!L175</f>
        <v>50</v>
      </c>
      <c r="W175" s="2">
        <f>Model_2!L175</f>
        <v>49.999999999999993</v>
      </c>
      <c r="X175" s="2">
        <f ca="1">Model_3!L175</f>
        <v>50</v>
      </c>
      <c r="Y175" s="2">
        <f>Model_4!L175</f>
        <v>50</v>
      </c>
      <c r="Z175" s="2">
        <f>Model_1!M175</f>
        <v>100.0006215504842</v>
      </c>
      <c r="AA175" s="2">
        <f>Model_2!M175</f>
        <v>79.04748332871884</v>
      </c>
      <c r="AB175" s="2">
        <f ca="1">Model_3!M175</f>
        <v>85.288733454793743</v>
      </c>
      <c r="AC175" s="2">
        <f>Model_4!M175</f>
        <v>31.260292801074961</v>
      </c>
      <c r="AD175" s="2">
        <f>Model_1!N175</f>
        <v>1.0000062155048419</v>
      </c>
      <c r="AE175" s="2">
        <f>Model_2!N175</f>
        <v>0.79047483328718837</v>
      </c>
      <c r="AF175" s="2">
        <f ca="1">Model_3!N175</f>
        <v>0.85288733454793741</v>
      </c>
      <c r="AG175" s="2">
        <f>Model_4!N175</f>
        <v>0.31260292801074963</v>
      </c>
    </row>
    <row r="176" spans="1:33" x14ac:dyDescent="0.3">
      <c r="A176" s="1">
        <v>174</v>
      </c>
      <c r="B176" s="2">
        <f>Model_1!G176</f>
        <v>1.7527710163944832E-4</v>
      </c>
      <c r="C176" s="2">
        <f>Model_2!G176</f>
        <v>13.221565545550092</v>
      </c>
      <c r="D176" s="2">
        <f ca="1">Model_3!G176</f>
        <v>0</v>
      </c>
      <c r="E176" s="2">
        <f>Model_4!G176</f>
        <v>0</v>
      </c>
      <c r="F176" s="2">
        <f>Model_1!H176</f>
        <v>499.99707873204039</v>
      </c>
      <c r="G176" s="2">
        <f>Model_2!H176</f>
        <v>627.22995823146039</v>
      </c>
      <c r="H176" s="2">
        <f ca="1">Model_3!H176</f>
        <v>593.81278775979899</v>
      </c>
      <c r="I176" s="2">
        <f>Model_4!H176</f>
        <v>622.19770192746762</v>
      </c>
      <c r="J176" s="2">
        <f>Model_1!I176</f>
        <v>0</v>
      </c>
      <c r="K176" s="2">
        <f>Model_2!I176</f>
        <v>0</v>
      </c>
      <c r="L176" s="2">
        <f ca="1">Model_3!I176</f>
        <v>0</v>
      </c>
      <c r="M176" s="2">
        <f>Model_4!I176</f>
        <v>16.887908077098704</v>
      </c>
      <c r="N176" s="2">
        <f>Model_1!J176</f>
        <v>1000</v>
      </c>
      <c r="O176" s="2">
        <f>Model_2!J176</f>
        <v>1600</v>
      </c>
      <c r="P176" s="2">
        <f>Model_3!J176</f>
        <v>1600</v>
      </c>
      <c r="Q176" s="2">
        <f>Model_4!J176</f>
        <v>400</v>
      </c>
      <c r="R176" s="2">
        <f>Model_1!K176</f>
        <v>2.0000116851401093</v>
      </c>
      <c r="S176" s="2">
        <f>Model_2!K176</f>
        <v>2.5508985643979205</v>
      </c>
      <c r="T176" s="2">
        <f ca="1">Model_3!K176</f>
        <v>2.6944519097274982</v>
      </c>
      <c r="U176" s="2">
        <f>Model_4!K176</f>
        <v>0.64288247732330872</v>
      </c>
      <c r="V176" s="2">
        <f>Model_1!L176</f>
        <v>50</v>
      </c>
      <c r="W176" s="2">
        <f>Model_2!L176</f>
        <v>50</v>
      </c>
      <c r="X176" s="2">
        <f ca="1">Model_3!L176</f>
        <v>50</v>
      </c>
      <c r="Y176" s="2">
        <f>Model_4!L176</f>
        <v>50</v>
      </c>
      <c r="Z176" s="2">
        <f>Model_1!M176</f>
        <v>100.00058425700547</v>
      </c>
      <c r="AA176" s="2">
        <f>Model_2!M176</f>
        <v>127.54492821989602</v>
      </c>
      <c r="AB176" s="2">
        <f ca="1">Model_3!M176</f>
        <v>134.7225954863749</v>
      </c>
      <c r="AC176" s="2">
        <f>Model_4!M176</f>
        <v>32.144123866165437</v>
      </c>
      <c r="AD176" s="2">
        <f>Model_1!N176</f>
        <v>1.0000058425700546</v>
      </c>
      <c r="AE176" s="2">
        <f>Model_2!N176</f>
        <v>1.2754492821989603</v>
      </c>
      <c r="AF176" s="2">
        <f ca="1">Model_3!N176</f>
        <v>1.3472259548637491</v>
      </c>
      <c r="AG176" s="2">
        <f>Model_4!N176</f>
        <v>0.32144123866165436</v>
      </c>
    </row>
    <row r="177" spans="1:33" x14ac:dyDescent="0.3">
      <c r="A177" s="1">
        <v>175</v>
      </c>
      <c r="B177" s="2">
        <f>Model_1!G177</f>
        <v>1.6476035634482855E-4</v>
      </c>
      <c r="C177" s="2">
        <f>Model_2!G177</f>
        <v>0</v>
      </c>
      <c r="D177" s="2">
        <f ca="1">Model_3!G177</f>
        <v>0</v>
      </c>
      <c r="E177" s="2">
        <f>Model_4!G177</f>
        <v>0</v>
      </c>
      <c r="F177" s="2">
        <f>Model_1!H177</f>
        <v>499.99725400914201</v>
      </c>
      <c r="G177" s="2">
        <f>Model_2!H177</f>
        <v>640.45152377701049</v>
      </c>
      <c r="H177" s="2">
        <f ca="1">Model_3!H177</f>
        <v>593.81278775979899</v>
      </c>
      <c r="I177" s="2">
        <f>Model_4!H177</f>
        <v>605.30979385036892</v>
      </c>
      <c r="J177" s="2">
        <f>Model_1!I177</f>
        <v>0</v>
      </c>
      <c r="K177" s="2">
        <f>Model_2!I177</f>
        <v>17.61806095108042</v>
      </c>
      <c r="L177" s="2">
        <f ca="1">Model_3!I177</f>
        <v>15.752511510391964</v>
      </c>
      <c r="M177" s="2">
        <f>Model_4!I177</f>
        <v>16.212391754014757</v>
      </c>
      <c r="N177" s="2">
        <f>Model_1!J177</f>
        <v>1000</v>
      </c>
      <c r="O177" s="2">
        <f>Model_2!J177</f>
        <v>400</v>
      </c>
      <c r="P177" s="2">
        <f>Model_3!J177</f>
        <v>400</v>
      </c>
      <c r="Q177" s="2">
        <f>Model_4!J177</f>
        <v>400</v>
      </c>
      <c r="R177" s="2">
        <f>Model_1!K177</f>
        <v>2.0000109840237559</v>
      </c>
      <c r="S177" s="2">
        <f>Model_2!K177</f>
        <v>0.62455936967880521</v>
      </c>
      <c r="T177" s="2">
        <f ca="1">Model_3!K177</f>
        <v>0.67361297743187454</v>
      </c>
      <c r="U177" s="2">
        <f>Model_4!K177</f>
        <v>0.66081864867178908</v>
      </c>
      <c r="V177" s="2">
        <f>Model_1!L177</f>
        <v>50.000000000000014</v>
      </c>
      <c r="W177" s="2">
        <f>Model_2!L177</f>
        <v>50</v>
      </c>
      <c r="X177" s="2">
        <f ca="1">Model_3!L177</f>
        <v>50</v>
      </c>
      <c r="Y177" s="2">
        <f>Model_4!L177</f>
        <v>50</v>
      </c>
      <c r="Z177" s="2">
        <f>Model_1!M177</f>
        <v>100.00054920118782</v>
      </c>
      <c r="AA177" s="2">
        <f>Model_2!M177</f>
        <v>31.227968483940259</v>
      </c>
      <c r="AB177" s="2">
        <f ca="1">Model_3!M177</f>
        <v>33.680648871593725</v>
      </c>
      <c r="AC177" s="2">
        <f>Model_4!M177</f>
        <v>33.040932433589454</v>
      </c>
      <c r="AD177" s="2">
        <f>Model_1!N177</f>
        <v>1.0000054920118782</v>
      </c>
      <c r="AE177" s="2">
        <f>Model_2!N177</f>
        <v>0.3122796848394026</v>
      </c>
      <c r="AF177" s="2">
        <f ca="1">Model_3!N177</f>
        <v>0.33680648871593727</v>
      </c>
      <c r="AG177" s="2">
        <f>Model_4!N177</f>
        <v>0.33040932433589454</v>
      </c>
    </row>
    <row r="178" spans="1:33" x14ac:dyDescent="0.3">
      <c r="A178" s="1">
        <v>176</v>
      </c>
      <c r="B178" s="2">
        <f>Model_1!G178</f>
        <v>1.5487462962759935E-4</v>
      </c>
      <c r="C178" s="2">
        <f>Model_2!G178</f>
        <v>0</v>
      </c>
      <c r="D178" s="2">
        <f ca="1">Model_3!G178</f>
        <v>10.689179820863275</v>
      </c>
      <c r="E178" s="2">
        <f>Model_4!G178</f>
        <v>0</v>
      </c>
      <c r="F178" s="2">
        <f>Model_1!H178</f>
        <v>499.99741876949838</v>
      </c>
      <c r="G178" s="2">
        <f>Model_2!H178</f>
        <v>622.83346282593004</v>
      </c>
      <c r="H178" s="2">
        <f ca="1">Model_3!H178</f>
        <v>578.06027624940702</v>
      </c>
      <c r="I178" s="2">
        <f>Model_4!H178</f>
        <v>589.09740209635413</v>
      </c>
      <c r="J178" s="2">
        <f>Model_1!I178</f>
        <v>0</v>
      </c>
      <c r="K178" s="2">
        <f>Model_2!I178</f>
        <v>4.9133385130372025</v>
      </c>
      <c r="L178" s="2">
        <f ca="1">Model_3!I178</f>
        <v>3.1224110499762796</v>
      </c>
      <c r="M178" s="2">
        <f>Model_4!I178</f>
        <v>15.563896083854162</v>
      </c>
      <c r="N178" s="2">
        <f>Model_1!J178</f>
        <v>1000</v>
      </c>
      <c r="O178" s="2">
        <f>Model_2!J178</f>
        <v>1000</v>
      </c>
      <c r="P178" s="2">
        <f>Model_3!J178</f>
        <v>1000</v>
      </c>
      <c r="Q178" s="2">
        <f>Model_4!J178</f>
        <v>400</v>
      </c>
      <c r="R178" s="2">
        <f>Model_1!K178</f>
        <v>2.000010324975309</v>
      </c>
      <c r="S178" s="2">
        <f>Model_2!K178</f>
        <v>1.6055656281902129</v>
      </c>
      <c r="T178" s="2">
        <f ca="1">Model_3!K178</f>
        <v>1.7299234026047223</v>
      </c>
      <c r="U178" s="2">
        <f>Model_4!K178</f>
        <v>0.67900486163504603</v>
      </c>
      <c r="V178" s="2">
        <f>Model_1!L178</f>
        <v>49.999999999999993</v>
      </c>
      <c r="W178" s="2">
        <f>Model_2!L178</f>
        <v>50</v>
      </c>
      <c r="X178" s="2">
        <f ca="1">Model_3!L178</f>
        <v>50</v>
      </c>
      <c r="Y178" s="2">
        <f>Model_4!L178</f>
        <v>50</v>
      </c>
      <c r="Z178" s="2">
        <f>Model_1!M178</f>
        <v>100.00051624876544</v>
      </c>
      <c r="AA178" s="2">
        <f>Model_2!M178</f>
        <v>80.27828140951064</v>
      </c>
      <c r="AB178" s="2">
        <f ca="1">Model_3!M178</f>
        <v>86.496170130236123</v>
      </c>
      <c r="AC178" s="2">
        <f>Model_4!M178</f>
        <v>33.950243081752305</v>
      </c>
      <c r="AD178" s="2">
        <f>Model_1!N178</f>
        <v>1.0000051624876543</v>
      </c>
      <c r="AE178" s="2">
        <f>Model_2!N178</f>
        <v>0.80278281409510643</v>
      </c>
      <c r="AF178" s="2">
        <f ca="1">Model_3!N178</f>
        <v>0.86496170130236127</v>
      </c>
      <c r="AG178" s="2">
        <f>Model_4!N178</f>
        <v>0.33950243081752307</v>
      </c>
    </row>
    <row r="179" spans="1:33" x14ac:dyDescent="0.3">
      <c r="A179" s="1">
        <v>177</v>
      </c>
      <c r="B179" s="2">
        <f>Model_1!G179</f>
        <v>1.4558205878811847E-4</v>
      </c>
      <c r="C179" s="2">
        <f>Model_2!G179</f>
        <v>14.143954354455705</v>
      </c>
      <c r="D179" s="2">
        <f ca="1">Model_3!G179</f>
        <v>0</v>
      </c>
      <c r="E179" s="2">
        <f>Model_4!G179</f>
        <v>0</v>
      </c>
      <c r="F179" s="2">
        <f>Model_1!H179</f>
        <v>499.99757364412801</v>
      </c>
      <c r="G179" s="2">
        <f>Model_2!H179</f>
        <v>617.92012431289288</v>
      </c>
      <c r="H179" s="2">
        <f ca="1">Model_3!H179</f>
        <v>585.62704502029408</v>
      </c>
      <c r="I179" s="2">
        <f>Model_4!H179</f>
        <v>573.53350601249997</v>
      </c>
      <c r="J179" s="2">
        <f>Model_1!I179</f>
        <v>0</v>
      </c>
      <c r="K179" s="2">
        <f>Model_2!I179</f>
        <v>0</v>
      </c>
      <c r="L179" s="2">
        <f ca="1">Model_3!I179</f>
        <v>0</v>
      </c>
      <c r="M179" s="2">
        <f>Model_4!I179</f>
        <v>14.941340240500001</v>
      </c>
      <c r="N179" s="2">
        <f>Model_1!J179</f>
        <v>1000</v>
      </c>
      <c r="O179" s="2">
        <f>Model_2!J179</f>
        <v>1600</v>
      </c>
      <c r="P179" s="2">
        <f>Model_3!J179</f>
        <v>1600</v>
      </c>
      <c r="Q179" s="2">
        <f>Model_4!J179</f>
        <v>400</v>
      </c>
      <c r="R179" s="2">
        <f>Model_1!K179</f>
        <v>2.0000097054705859</v>
      </c>
      <c r="S179" s="2">
        <f>Model_2!K179</f>
        <v>2.5893314314356535</v>
      </c>
      <c r="T179" s="2">
        <f ca="1">Model_3!K179</f>
        <v>2.7321142587336524</v>
      </c>
      <c r="U179" s="2">
        <f>Model_4!K179</f>
        <v>0.69743091869384544</v>
      </c>
      <c r="V179" s="2">
        <f>Model_1!L179</f>
        <v>50</v>
      </c>
      <c r="W179" s="2">
        <f>Model_2!L179</f>
        <v>50.000000000000014</v>
      </c>
      <c r="X179" s="2">
        <f ca="1">Model_3!L179</f>
        <v>50</v>
      </c>
      <c r="Y179" s="2">
        <f>Model_4!L179</f>
        <v>50</v>
      </c>
      <c r="Z179" s="2">
        <f>Model_1!M179</f>
        <v>100.00048527352929</v>
      </c>
      <c r="AA179" s="2">
        <f>Model_2!M179</f>
        <v>129.46657157178271</v>
      </c>
      <c r="AB179" s="2">
        <f ca="1">Model_3!M179</f>
        <v>136.60571293668261</v>
      </c>
      <c r="AC179" s="2">
        <f>Model_4!M179</f>
        <v>34.871545934692271</v>
      </c>
      <c r="AD179" s="2">
        <f>Model_1!N179</f>
        <v>1.0000048527352929</v>
      </c>
      <c r="AE179" s="2">
        <f>Model_2!N179</f>
        <v>1.2946657157178272</v>
      </c>
      <c r="AF179" s="2">
        <f ca="1">Model_3!N179</f>
        <v>1.366057129366826</v>
      </c>
      <c r="AG179" s="2">
        <f>Model_4!N179</f>
        <v>0.34871545934692272</v>
      </c>
    </row>
    <row r="180" spans="1:33" x14ac:dyDescent="0.3">
      <c r="A180" s="1">
        <v>178</v>
      </c>
      <c r="B180" s="2">
        <f>Model_1!G180</f>
        <v>1.3684705302274836E-4</v>
      </c>
      <c r="C180" s="2">
        <f>Model_2!G180</f>
        <v>0</v>
      </c>
      <c r="D180" s="2">
        <f ca="1">Model_3!G180</f>
        <v>0</v>
      </c>
      <c r="E180" s="2">
        <f>Model_4!G180</f>
        <v>0</v>
      </c>
      <c r="F180" s="2">
        <f>Model_1!H180</f>
        <v>499.9977192261868</v>
      </c>
      <c r="G180" s="2">
        <f>Model_2!H180</f>
        <v>632.06407866734855</v>
      </c>
      <c r="H180" s="2">
        <f ca="1">Model_3!H180</f>
        <v>585.62704502029408</v>
      </c>
      <c r="I180" s="2">
        <f>Model_4!H180</f>
        <v>558.59216577199993</v>
      </c>
      <c r="J180" s="2">
        <f>Model_1!I180</f>
        <v>0</v>
      </c>
      <c r="K180" s="2">
        <f>Model_2!I180</f>
        <v>5.2825631466939429</v>
      </c>
      <c r="L180" s="2">
        <f ca="1">Model_3!I180</f>
        <v>3.4250818008117627</v>
      </c>
      <c r="M180" s="2">
        <f>Model_4!I180</f>
        <v>14.343686630879997</v>
      </c>
      <c r="N180" s="2">
        <f>Model_1!J180</f>
        <v>1000</v>
      </c>
      <c r="O180" s="2">
        <f>Model_2!J180</f>
        <v>1000</v>
      </c>
      <c r="P180" s="2">
        <f>Model_3!J180</f>
        <v>1000</v>
      </c>
      <c r="Q180" s="2">
        <f>Model_4!J180</f>
        <v>400</v>
      </c>
      <c r="R180" s="2">
        <f>Model_1!K180</f>
        <v>2.0000091231368686</v>
      </c>
      <c r="S180" s="2">
        <f>Model_2!K180</f>
        <v>1.5821180695925829</v>
      </c>
      <c r="T180" s="2">
        <f ca="1">Model_3!K180</f>
        <v>1.7075714117085328</v>
      </c>
      <c r="U180" s="2">
        <f>Model_4!K180</f>
        <v>0.7160859469756109</v>
      </c>
      <c r="V180" s="2">
        <f>Model_1!L180</f>
        <v>49.999999999999993</v>
      </c>
      <c r="W180" s="2">
        <f>Model_2!L180</f>
        <v>50</v>
      </c>
      <c r="X180" s="2">
        <f ca="1">Model_3!L180</f>
        <v>50</v>
      </c>
      <c r="Y180" s="2">
        <f>Model_4!L180</f>
        <v>50</v>
      </c>
      <c r="Z180" s="2">
        <f>Model_1!M180</f>
        <v>100.00045615684341</v>
      </c>
      <c r="AA180" s="2">
        <f>Model_2!M180</f>
        <v>79.105903479629148</v>
      </c>
      <c r="AB180" s="2">
        <f ca="1">Model_3!M180</f>
        <v>85.378570585426644</v>
      </c>
      <c r="AC180" s="2">
        <f>Model_4!M180</f>
        <v>35.804297348780544</v>
      </c>
      <c r="AD180" s="2">
        <f>Model_1!N180</f>
        <v>1.0000045615684341</v>
      </c>
      <c r="AE180" s="2">
        <f>Model_2!N180</f>
        <v>0.79105903479629147</v>
      </c>
      <c r="AF180" s="2">
        <f ca="1">Model_3!N180</f>
        <v>0.85378570585426639</v>
      </c>
      <c r="AG180" s="2">
        <f>Model_4!N180</f>
        <v>0.35804297348780545</v>
      </c>
    </row>
    <row r="181" spans="1:33" x14ac:dyDescent="0.3">
      <c r="A181" s="1">
        <v>179</v>
      </c>
      <c r="B181" s="2">
        <f>Model_1!G181</f>
        <v>1.2863615718616828E-4</v>
      </c>
      <c r="C181" s="2">
        <f>Model_2!G181</f>
        <v>0</v>
      </c>
      <c r="D181" s="2">
        <f ca="1">Model_3!G181</f>
        <v>10.416778645912473</v>
      </c>
      <c r="E181" s="2">
        <f>Model_4!G181</f>
        <v>0</v>
      </c>
      <c r="F181" s="2">
        <f>Model_1!H181</f>
        <v>499.9978560732398</v>
      </c>
      <c r="G181" s="2">
        <f>Model_2!H181</f>
        <v>626.78151552065458</v>
      </c>
      <c r="H181" s="2">
        <f ca="1">Model_3!H181</f>
        <v>582.20196321948231</v>
      </c>
      <c r="I181" s="2">
        <f>Model_4!H181</f>
        <v>544.2484791411199</v>
      </c>
      <c r="J181" s="2">
        <f>Model_1!I181</f>
        <v>0</v>
      </c>
      <c r="K181" s="2">
        <f>Model_2!I181</f>
        <v>5.0712606208261786</v>
      </c>
      <c r="L181" s="2">
        <f ca="1">Model_3!I181</f>
        <v>3.2880785287792915</v>
      </c>
      <c r="M181" s="2">
        <f>Model_4!I181</f>
        <v>13.769939165644795</v>
      </c>
      <c r="N181" s="2">
        <f>Model_1!J181</f>
        <v>1000</v>
      </c>
      <c r="O181" s="2">
        <f>Model_2!J181</f>
        <v>1000</v>
      </c>
      <c r="P181" s="2">
        <f>Model_3!J181</f>
        <v>1000</v>
      </c>
      <c r="Q181" s="2">
        <f>Model_4!J181</f>
        <v>400</v>
      </c>
      <c r="R181" s="2">
        <f>Model_1!K181</f>
        <v>2.0000085757438124</v>
      </c>
      <c r="S181" s="2">
        <f>Model_2!K181</f>
        <v>1.5954522831920472</v>
      </c>
      <c r="T181" s="2">
        <f ca="1">Model_3!K181</f>
        <v>1.7176170181051305</v>
      </c>
      <c r="U181" s="2">
        <f>Model_4!K181</f>
        <v>0.73495841574282605</v>
      </c>
      <c r="V181" s="2">
        <f>Model_1!L181</f>
        <v>50</v>
      </c>
      <c r="W181" s="2">
        <f>Model_2!L181</f>
        <v>50.000000000000014</v>
      </c>
      <c r="X181" s="2">
        <f ca="1">Model_3!L181</f>
        <v>50</v>
      </c>
      <c r="Y181" s="2">
        <f>Model_4!L181</f>
        <v>50</v>
      </c>
      <c r="Z181" s="2">
        <f>Model_1!M181</f>
        <v>100.00042878719061</v>
      </c>
      <c r="AA181" s="2">
        <f>Model_2!M181</f>
        <v>79.772614159602384</v>
      </c>
      <c r="AB181" s="2">
        <f ca="1">Model_3!M181</f>
        <v>85.880850905256523</v>
      </c>
      <c r="AC181" s="2">
        <f>Model_4!M181</f>
        <v>36.747920787141304</v>
      </c>
      <c r="AD181" s="2">
        <f>Model_1!N181</f>
        <v>1.0000042878719062</v>
      </c>
      <c r="AE181" s="2">
        <f>Model_2!N181</f>
        <v>0.79772614159602384</v>
      </c>
      <c r="AF181" s="2">
        <f ca="1">Model_3!N181</f>
        <v>0.85880850905256523</v>
      </c>
      <c r="AG181" s="2">
        <f>Model_4!N181</f>
        <v>0.36747920787141303</v>
      </c>
    </row>
    <row r="182" spans="1:33" x14ac:dyDescent="0.3">
      <c r="A182" s="1">
        <v>180</v>
      </c>
      <c r="B182" s="2">
        <f>Model_1!G182</f>
        <v>1.2091792354729236E-4</v>
      </c>
      <c r="C182" s="2">
        <f>Model_2!G182</f>
        <v>13.765106329454238</v>
      </c>
      <c r="D182" s="2">
        <f ca="1">Model_3!G182</f>
        <v>0</v>
      </c>
      <c r="E182" s="2">
        <f>Model_4!G182</f>
        <v>0</v>
      </c>
      <c r="F182" s="2">
        <f>Model_1!H182</f>
        <v>499.99798470939697</v>
      </c>
      <c r="G182" s="2">
        <f>Model_2!H182</f>
        <v>621.71025489982844</v>
      </c>
      <c r="H182" s="2">
        <f ca="1">Model_3!H182</f>
        <v>589.33066333661554</v>
      </c>
      <c r="I182" s="2">
        <f>Model_4!H182</f>
        <v>530.47853997547509</v>
      </c>
      <c r="J182" s="2">
        <f>Model_1!I182</f>
        <v>0</v>
      </c>
      <c r="K182" s="2">
        <f>Model_2!I182</f>
        <v>0</v>
      </c>
      <c r="L182" s="2">
        <f ca="1">Model_3!I182</f>
        <v>0</v>
      </c>
      <c r="M182" s="2">
        <f>Model_4!I182</f>
        <v>13.219141599019002</v>
      </c>
      <c r="N182" s="2">
        <f>Model_1!J182</f>
        <v>1000</v>
      </c>
      <c r="O182" s="2">
        <f>Model_2!J182</f>
        <v>1600</v>
      </c>
      <c r="P182" s="2">
        <f>Model_3!J182</f>
        <v>1600</v>
      </c>
      <c r="Q182" s="2">
        <f>Model_4!J182</f>
        <v>400</v>
      </c>
      <c r="R182" s="2">
        <f>Model_1!K182</f>
        <v>2.0000080611949036</v>
      </c>
      <c r="S182" s="2">
        <f>Model_2!K182</f>
        <v>2.5735460970605932</v>
      </c>
      <c r="T182" s="2">
        <f ca="1">Model_3!K182</f>
        <v>2.7149444268541436</v>
      </c>
      <c r="U182" s="2">
        <f>Model_4!K182</f>
        <v>0.75403615765209409</v>
      </c>
      <c r="V182" s="2">
        <f>Model_1!L182</f>
        <v>49.999999999999993</v>
      </c>
      <c r="W182" s="2">
        <f>Model_2!L182</f>
        <v>50</v>
      </c>
      <c r="X182" s="2">
        <f ca="1">Model_3!L182</f>
        <v>50</v>
      </c>
      <c r="Y182" s="2">
        <f>Model_4!L182</f>
        <v>50</v>
      </c>
      <c r="Z182" s="2">
        <f>Model_1!M182</f>
        <v>100.00040305974517</v>
      </c>
      <c r="AA182" s="2">
        <f>Model_2!M182</f>
        <v>128.67730485302965</v>
      </c>
      <c r="AB182" s="2">
        <f ca="1">Model_3!M182</f>
        <v>135.74722134270718</v>
      </c>
      <c r="AC182" s="2">
        <f>Model_4!M182</f>
        <v>37.701807882604705</v>
      </c>
      <c r="AD182" s="2">
        <f>Model_1!N182</f>
        <v>1.0000040305974516</v>
      </c>
      <c r="AE182" s="2">
        <f>Model_2!N182</f>
        <v>1.2867730485302966</v>
      </c>
      <c r="AF182" s="2">
        <f ca="1">Model_3!N182</f>
        <v>1.3574722134270718</v>
      </c>
      <c r="AG182" s="2">
        <f>Model_4!N182</f>
        <v>0.37701807882604704</v>
      </c>
    </row>
    <row r="183" spans="1:33" x14ac:dyDescent="0.3">
      <c r="A183" s="1">
        <v>181</v>
      </c>
      <c r="B183" s="2">
        <f>Model_1!G183</f>
        <v>1.136627914122279E-4</v>
      </c>
      <c r="C183" s="2">
        <f>Model_2!G183</f>
        <v>0</v>
      </c>
      <c r="D183" s="2">
        <f ca="1">Model_3!G183</f>
        <v>0</v>
      </c>
      <c r="E183" s="2">
        <f>Model_4!G183</f>
        <v>26.237413801523388</v>
      </c>
      <c r="F183" s="2">
        <f>Model_1!H183</f>
        <v>499.99810562732051</v>
      </c>
      <c r="G183" s="2">
        <f>Model_2!H183</f>
        <v>635.47536122928273</v>
      </c>
      <c r="H183" s="2">
        <f ca="1">Model_3!H183</f>
        <v>589.33066333661554</v>
      </c>
      <c r="I183" s="2">
        <f>Model_4!H183</f>
        <v>517.25939837645603</v>
      </c>
      <c r="J183" s="2">
        <f>Model_1!I183</f>
        <v>0</v>
      </c>
      <c r="K183" s="2">
        <f>Model_2!I183</f>
        <v>5.4190144491713097</v>
      </c>
      <c r="L183" s="2">
        <f ca="1">Model_3!I183</f>
        <v>3.5732265334646218</v>
      </c>
      <c r="M183" s="2">
        <f>Model_4!I183</f>
        <v>0</v>
      </c>
      <c r="N183" s="2">
        <f>Model_1!J183</f>
        <v>1000</v>
      </c>
      <c r="O183" s="2">
        <f>Model_2!J183</f>
        <v>1000</v>
      </c>
      <c r="P183" s="2">
        <f>Model_3!J183</f>
        <v>1000</v>
      </c>
      <c r="Q183" s="2">
        <f>Model_4!J183</f>
        <v>1600</v>
      </c>
      <c r="R183" s="2">
        <f>Model_1!K183</f>
        <v>2.000007577519427</v>
      </c>
      <c r="S183" s="2">
        <f>Model_2!K183</f>
        <v>1.5736251332633413</v>
      </c>
      <c r="T183" s="2">
        <f ca="1">Model_3!K183</f>
        <v>1.6968402667838398</v>
      </c>
      <c r="U183" s="2">
        <f>Model_4!K183</f>
        <v>3</v>
      </c>
      <c r="V183" s="2">
        <f>Model_1!L183</f>
        <v>50.000000000000014</v>
      </c>
      <c r="W183" s="2">
        <f>Model_2!L183</f>
        <v>50</v>
      </c>
      <c r="X183" s="2">
        <f ca="1">Model_3!L183</f>
        <v>50</v>
      </c>
      <c r="Y183" s="2">
        <f>Model_4!L183</f>
        <v>51.553759584391237</v>
      </c>
      <c r="Z183" s="2">
        <f>Model_1!M183</f>
        <v>100.00037887597138</v>
      </c>
      <c r="AA183" s="2">
        <f>Model_2!M183</f>
        <v>78.681256663167062</v>
      </c>
      <c r="AB183" s="2">
        <f ca="1">Model_3!M183</f>
        <v>84.842013339191993</v>
      </c>
      <c r="AC183" s="2">
        <f>Model_4!M183</f>
        <v>154.66127875317372</v>
      </c>
      <c r="AD183" s="2">
        <f>Model_1!N183</f>
        <v>1.0000037887597137</v>
      </c>
      <c r="AE183" s="2">
        <f>Model_2!N183</f>
        <v>0.78681256663167065</v>
      </c>
      <c r="AF183" s="2">
        <f ca="1">Model_3!N183</f>
        <v>0.84842013339191991</v>
      </c>
      <c r="AG183" s="2">
        <f>Model_4!N183</f>
        <v>1.5466127875317373</v>
      </c>
    </row>
    <row r="184" spans="1:33" x14ac:dyDescent="0.3">
      <c r="A184" s="1">
        <v>182</v>
      </c>
      <c r="B184" s="2">
        <f>Model_1!G184</f>
        <v>1.068429738015908E-4</v>
      </c>
      <c r="C184" s="2">
        <f>Model_2!G184</f>
        <v>0</v>
      </c>
      <c r="D184" s="2">
        <f ca="1">Model_3!G184</f>
        <v>4.3926855524019119</v>
      </c>
      <c r="E184" s="2">
        <f>Model_4!G184</f>
        <v>22.653588281627513</v>
      </c>
      <c r="F184" s="2">
        <f>Model_1!H184</f>
        <v>499.99821929011193</v>
      </c>
      <c r="G184" s="2">
        <f>Model_2!H184</f>
        <v>630.05634678011143</v>
      </c>
      <c r="H184" s="2">
        <f ca="1">Model_3!H184</f>
        <v>585.75743680315088</v>
      </c>
      <c r="I184" s="2">
        <f>Model_4!H184</f>
        <v>543.49681217797945</v>
      </c>
      <c r="J184" s="2">
        <f>Model_1!I184</f>
        <v>0</v>
      </c>
      <c r="K184" s="2">
        <f>Model_2!I184</f>
        <v>17.202253871204455</v>
      </c>
      <c r="L184" s="2">
        <f ca="1">Model_3!I184</f>
        <v>15.430297472126036</v>
      </c>
      <c r="M184" s="2">
        <f>Model_4!I184</f>
        <v>0</v>
      </c>
      <c r="N184" s="2">
        <f>Model_1!J184</f>
        <v>1000</v>
      </c>
      <c r="O184" s="2">
        <f>Model_2!J184</f>
        <v>400</v>
      </c>
      <c r="P184" s="2">
        <f>Model_3!J184</f>
        <v>400</v>
      </c>
      <c r="Q184" s="2">
        <f>Model_4!J184</f>
        <v>1600</v>
      </c>
      <c r="R184" s="2">
        <f>Model_1!K184</f>
        <v>2.0000071228649197</v>
      </c>
      <c r="S184" s="2">
        <f>Model_2!K184</f>
        <v>0.63486385312074212</v>
      </c>
      <c r="T184" s="2">
        <f ca="1">Model_3!K184</f>
        <v>0.68287651998590615</v>
      </c>
      <c r="U184" s="2">
        <f>Model_4!K184</f>
        <v>2.9438995117344797</v>
      </c>
      <c r="V184" s="2">
        <f>Model_1!L184</f>
        <v>50.000000000000014</v>
      </c>
      <c r="W184" s="2">
        <f>Model_2!L184</f>
        <v>50</v>
      </c>
      <c r="X184" s="2">
        <f ca="1">Model_3!L184</f>
        <v>50</v>
      </c>
      <c r="Y184" s="2">
        <f>Model_4!L184</f>
        <v>50</v>
      </c>
      <c r="Z184" s="2">
        <f>Model_1!M184</f>
        <v>100.00035614324601</v>
      </c>
      <c r="AA184" s="2">
        <f>Model_2!M184</f>
        <v>31.743192656037106</v>
      </c>
      <c r="AB184" s="2">
        <f ca="1">Model_3!M184</f>
        <v>34.143825999295309</v>
      </c>
      <c r="AC184" s="2">
        <f>Model_4!M184</f>
        <v>147.19497558672398</v>
      </c>
      <c r="AD184" s="2">
        <f>Model_1!N184</f>
        <v>1.0000035614324601</v>
      </c>
      <c r="AE184" s="2">
        <f>Model_2!N184</f>
        <v>0.31743192656037106</v>
      </c>
      <c r="AF184" s="2">
        <f ca="1">Model_3!N184</f>
        <v>0.34143825999295307</v>
      </c>
      <c r="AG184" s="2">
        <f>Model_4!N184</f>
        <v>1.4719497558672399</v>
      </c>
    </row>
    <row r="185" spans="1:33" x14ac:dyDescent="0.3">
      <c r="A185" s="1">
        <v>183</v>
      </c>
      <c r="B185" s="2">
        <f>Model_1!G185</f>
        <v>1.0043235107559667E-4</v>
      </c>
      <c r="C185" s="2">
        <f>Model_2!G185</f>
        <v>14.657654479771377</v>
      </c>
      <c r="D185" s="2">
        <f ca="1">Model_3!G185</f>
        <v>0</v>
      </c>
      <c r="E185" s="2">
        <f>Model_4!G185</f>
        <v>19.826499758414858</v>
      </c>
      <c r="F185" s="2">
        <f>Model_1!H185</f>
        <v>499.99832613308575</v>
      </c>
      <c r="G185" s="2">
        <f>Model_2!H185</f>
        <v>612.85409290890698</v>
      </c>
      <c r="H185" s="2">
        <f ca="1">Model_3!H185</f>
        <v>574.71982488342678</v>
      </c>
      <c r="I185" s="2">
        <f>Model_4!H185</f>
        <v>566.150400459607</v>
      </c>
      <c r="J185" s="2">
        <f>Model_1!I185</f>
        <v>0</v>
      </c>
      <c r="K185" s="2">
        <f>Model_2!I185</f>
        <v>0</v>
      </c>
      <c r="L185" s="2">
        <f ca="1">Model_3!I185</f>
        <v>0</v>
      </c>
      <c r="M185" s="2">
        <f>Model_4!I185</f>
        <v>0</v>
      </c>
      <c r="N185" s="2">
        <f>Model_1!J185</f>
        <v>1000</v>
      </c>
      <c r="O185" s="2">
        <f>Model_2!J185</f>
        <v>1600</v>
      </c>
      <c r="P185" s="2">
        <f>Model_3!J185</f>
        <v>1600</v>
      </c>
      <c r="Q185" s="2">
        <f>Model_4!J185</f>
        <v>1600</v>
      </c>
      <c r="R185" s="2">
        <f>Model_1!K185</f>
        <v>2.0000066954900717</v>
      </c>
      <c r="S185" s="2">
        <f>Model_2!K185</f>
        <v>2.6107356033238074</v>
      </c>
      <c r="T185" s="2">
        <f ca="1">Model_3!K185</f>
        <v>2.7839652135273667</v>
      </c>
      <c r="U185" s="2">
        <f>Model_4!K185</f>
        <v>2.8261041566006182</v>
      </c>
      <c r="V185" s="2">
        <f>Model_1!L185</f>
        <v>50</v>
      </c>
      <c r="W185" s="2">
        <f>Model_2!L185</f>
        <v>50</v>
      </c>
      <c r="X185" s="2">
        <f ca="1">Model_3!L185</f>
        <v>50</v>
      </c>
      <c r="Y185" s="2">
        <f>Model_4!L185</f>
        <v>50.000000000000014</v>
      </c>
      <c r="Z185" s="2">
        <f>Model_1!M185</f>
        <v>100.00033477450359</v>
      </c>
      <c r="AA185" s="2">
        <f>Model_2!M185</f>
        <v>130.53678016619037</v>
      </c>
      <c r="AB185" s="2">
        <f ca="1">Model_3!M185</f>
        <v>139.19826067636833</v>
      </c>
      <c r="AC185" s="2">
        <f>Model_4!M185</f>
        <v>141.30520783003095</v>
      </c>
      <c r="AD185" s="2">
        <f>Model_1!N185</f>
        <v>1.0000033477450359</v>
      </c>
      <c r="AE185" s="2">
        <f>Model_2!N185</f>
        <v>1.3053678016619037</v>
      </c>
      <c r="AF185" s="2">
        <f ca="1">Model_3!N185</f>
        <v>1.3919826067636833</v>
      </c>
      <c r="AG185" s="2">
        <f>Model_4!N185</f>
        <v>1.4130520783003095</v>
      </c>
    </row>
    <row r="186" spans="1:33" x14ac:dyDescent="0.3">
      <c r="A186" s="1">
        <v>184</v>
      </c>
      <c r="B186" s="2">
        <f>Model_1!G186</f>
        <v>9.4406370874100531E-5</v>
      </c>
      <c r="C186" s="2">
        <f>Model_2!G186</f>
        <v>0</v>
      </c>
      <c r="D186" s="2">
        <f ca="1">Model_3!G186</f>
        <v>0</v>
      </c>
      <c r="E186" s="2">
        <f>Model_4!G186</f>
        <v>17.531593456521378</v>
      </c>
      <c r="F186" s="2">
        <f>Model_1!H186</f>
        <v>499.99842656543683</v>
      </c>
      <c r="G186" s="2">
        <f>Model_2!H186</f>
        <v>627.51174738867837</v>
      </c>
      <c r="H186" s="2">
        <f ca="1">Model_3!H186</f>
        <v>574.71982488342678</v>
      </c>
      <c r="I186" s="2">
        <f>Model_4!H186</f>
        <v>585.97690021802191</v>
      </c>
      <c r="J186" s="2">
        <f>Model_1!I186</f>
        <v>0</v>
      </c>
      <c r="K186" s="2">
        <f>Model_2!I186</f>
        <v>5.1004698955471346</v>
      </c>
      <c r="L186" s="2">
        <f ca="1">Model_3!I186</f>
        <v>2.9887929953370707</v>
      </c>
      <c r="M186" s="2">
        <f>Model_4!I186</f>
        <v>0</v>
      </c>
      <c r="N186" s="2">
        <f>Model_1!J186</f>
        <v>1000</v>
      </c>
      <c r="O186" s="2">
        <f>Model_2!J186</f>
        <v>1000</v>
      </c>
      <c r="P186" s="2">
        <f>Model_3!J186</f>
        <v>1000</v>
      </c>
      <c r="Q186" s="2">
        <f>Model_4!J186</f>
        <v>1600</v>
      </c>
      <c r="R186" s="2">
        <f>Model_1!K186</f>
        <v>2.0000062937580583</v>
      </c>
      <c r="S186" s="2">
        <f>Model_2!K186</f>
        <v>1.5935956644021261</v>
      </c>
      <c r="T186" s="2">
        <f ca="1">Model_3!K186</f>
        <v>1.7399782584546042</v>
      </c>
      <c r="U186" s="2">
        <f>Model_4!K186</f>
        <v>2.7304830606883903</v>
      </c>
      <c r="V186" s="2">
        <f>Model_1!L186</f>
        <v>50</v>
      </c>
      <c r="W186" s="2">
        <f>Model_2!L186</f>
        <v>50</v>
      </c>
      <c r="X186" s="2">
        <f ca="1">Model_3!L186</f>
        <v>50</v>
      </c>
      <c r="Y186" s="2">
        <f>Model_4!L186</f>
        <v>50</v>
      </c>
      <c r="Z186" s="2">
        <f>Model_1!M186</f>
        <v>100.00031468790291</v>
      </c>
      <c r="AA186" s="2">
        <f>Model_2!M186</f>
        <v>79.679783220106302</v>
      </c>
      <c r="AB186" s="2">
        <f ca="1">Model_3!M186</f>
        <v>86.998912922730213</v>
      </c>
      <c r="AC186" s="2">
        <f>Model_4!M186</f>
        <v>136.52415303441953</v>
      </c>
      <c r="AD186" s="2">
        <f>Model_1!N186</f>
        <v>1.0000031468790291</v>
      </c>
      <c r="AE186" s="2">
        <f>Model_2!N186</f>
        <v>0.79679783220106304</v>
      </c>
      <c r="AF186" s="2">
        <f ca="1">Model_3!N186</f>
        <v>0.86998912922730209</v>
      </c>
      <c r="AG186" s="2">
        <f>Model_4!N186</f>
        <v>1.3652415303441954</v>
      </c>
    </row>
    <row r="187" spans="1:33" x14ac:dyDescent="0.3">
      <c r="A187" s="1">
        <v>185</v>
      </c>
      <c r="B187" s="2">
        <f>Model_1!G187</f>
        <v>8.8741954038518145E-5</v>
      </c>
      <c r="C187" s="2">
        <f>Model_2!G187</f>
        <v>0</v>
      </c>
      <c r="D187" s="2">
        <f ca="1">Model_3!G187</f>
        <v>10.724166402812154</v>
      </c>
      <c r="E187" s="2">
        <f>Model_4!G187</f>
        <v>15.627936313201488</v>
      </c>
      <c r="F187" s="2">
        <f>Model_1!H187</f>
        <v>499.99852097180769</v>
      </c>
      <c r="G187" s="2">
        <f>Model_2!H187</f>
        <v>622.41127749313125</v>
      </c>
      <c r="H187" s="2">
        <f ca="1">Model_3!H187</f>
        <v>571.73103188808966</v>
      </c>
      <c r="I187" s="2">
        <f>Model_4!H187</f>
        <v>603.50849367454327</v>
      </c>
      <c r="J187" s="2">
        <f>Model_1!I187</f>
        <v>0</v>
      </c>
      <c r="K187" s="2">
        <f>Model_2!I187</f>
        <v>4.8964510997252502</v>
      </c>
      <c r="L187" s="2">
        <f ca="1">Model_3!I187</f>
        <v>2.8692412755235859</v>
      </c>
      <c r="M187" s="2">
        <f>Model_4!I187</f>
        <v>0</v>
      </c>
      <c r="N187" s="2">
        <f>Model_1!J187</f>
        <v>1000</v>
      </c>
      <c r="O187" s="2">
        <f>Model_2!J187</f>
        <v>1000</v>
      </c>
      <c r="P187" s="2">
        <f>Model_3!J187</f>
        <v>1000</v>
      </c>
      <c r="Q187" s="2">
        <f>Model_4!J187</f>
        <v>1600</v>
      </c>
      <c r="R187" s="2">
        <f>Model_1!K187</f>
        <v>2.0000059161302697</v>
      </c>
      <c r="S187" s="2">
        <f>Model_2!K187</f>
        <v>1.6066546930635197</v>
      </c>
      <c r="T187" s="2">
        <f ca="1">Model_3!K187</f>
        <v>1.7490742048714605</v>
      </c>
      <c r="U187" s="2">
        <f>Model_4!K187</f>
        <v>2.651164013050062</v>
      </c>
      <c r="V187" s="2">
        <f>Model_1!L187</f>
        <v>49.999999999999993</v>
      </c>
      <c r="W187" s="2">
        <f>Model_2!L187</f>
        <v>50</v>
      </c>
      <c r="X187" s="2">
        <f ca="1">Model_3!L187</f>
        <v>50</v>
      </c>
      <c r="Y187" s="2">
        <f>Model_4!L187</f>
        <v>50</v>
      </c>
      <c r="Z187" s="2">
        <f>Model_1!M187</f>
        <v>100.00029580651346</v>
      </c>
      <c r="AA187" s="2">
        <f>Model_2!M187</f>
        <v>80.33273465317599</v>
      </c>
      <c r="AB187" s="2">
        <f ca="1">Model_3!M187</f>
        <v>87.453710243573028</v>
      </c>
      <c r="AC187" s="2">
        <f>Model_4!M187</f>
        <v>132.5582006525031</v>
      </c>
      <c r="AD187" s="2">
        <f>Model_1!N187</f>
        <v>1.0000029580651346</v>
      </c>
      <c r="AE187" s="2">
        <f>Model_2!N187</f>
        <v>0.80332734653175986</v>
      </c>
      <c r="AF187" s="2">
        <f ca="1">Model_3!N187</f>
        <v>0.87453710243573024</v>
      </c>
      <c r="AG187" s="2">
        <f>Model_4!N187</f>
        <v>1.325582006525031</v>
      </c>
    </row>
    <row r="188" spans="1:33" x14ac:dyDescent="0.3">
      <c r="A188" s="1">
        <v>186</v>
      </c>
      <c r="B188" s="2">
        <f>Model_1!G188</f>
        <v>8.3417406249175485E-5</v>
      </c>
      <c r="C188" s="2">
        <f>Model_2!G188</f>
        <v>14.184741740170207</v>
      </c>
      <c r="D188" s="2">
        <f ca="1">Model_3!G188</f>
        <v>0</v>
      </c>
      <c r="E188" s="2">
        <f>Model_4!G188</f>
        <v>14.021871335789577</v>
      </c>
      <c r="F188" s="2">
        <f>Model_1!H188</f>
        <v>499.99860971376171</v>
      </c>
      <c r="G188" s="2">
        <f>Model_2!H188</f>
        <v>617.514826393406</v>
      </c>
      <c r="H188" s="2">
        <f ca="1">Model_3!H188</f>
        <v>579.5859570153782</v>
      </c>
      <c r="I188" s="2">
        <f>Model_4!H188</f>
        <v>619.1364299877448</v>
      </c>
      <c r="J188" s="2">
        <f>Model_1!I188</f>
        <v>0</v>
      </c>
      <c r="K188" s="2">
        <f>Model_2!I188</f>
        <v>0</v>
      </c>
      <c r="L188" s="2">
        <f ca="1">Model_3!I188</f>
        <v>0</v>
      </c>
      <c r="M188" s="2">
        <f>Model_4!I188</f>
        <v>0</v>
      </c>
      <c r="N188" s="2">
        <f>Model_1!J188</f>
        <v>1000</v>
      </c>
      <c r="O188" s="2">
        <f>Model_2!J188</f>
        <v>1600</v>
      </c>
      <c r="P188" s="2">
        <f>Model_3!J188</f>
        <v>1600</v>
      </c>
      <c r="Q188" s="2">
        <f>Model_4!J188</f>
        <v>1600</v>
      </c>
      <c r="R188" s="2">
        <f>Model_1!K188</f>
        <v>2.0000055611604162</v>
      </c>
      <c r="S188" s="2">
        <f>Model_2!K188</f>
        <v>2.5910309058404257</v>
      </c>
      <c r="T188" s="2">
        <f ca="1">Model_3!K188</f>
        <v>2.7605913853388051</v>
      </c>
      <c r="U188" s="2">
        <f>Model_4!K188</f>
        <v>2.5842446389912324</v>
      </c>
      <c r="V188" s="2">
        <f>Model_1!L188</f>
        <v>50.000000000000014</v>
      </c>
      <c r="W188" s="2">
        <f>Model_2!L188</f>
        <v>50</v>
      </c>
      <c r="X188" s="2">
        <f ca="1">Model_3!L188</f>
        <v>50</v>
      </c>
      <c r="Y188" s="2">
        <f>Model_4!L188</f>
        <v>50</v>
      </c>
      <c r="Z188" s="2">
        <f>Model_1!M188</f>
        <v>100.00027805802084</v>
      </c>
      <c r="AA188" s="2">
        <f>Model_2!M188</f>
        <v>129.55154529202127</v>
      </c>
      <c r="AB188" s="2">
        <f ca="1">Model_3!M188</f>
        <v>138.02956926694026</v>
      </c>
      <c r="AC188" s="2">
        <f>Model_4!M188</f>
        <v>129.21223194956161</v>
      </c>
      <c r="AD188" s="2">
        <f>Model_1!N188</f>
        <v>1.0000027805802083</v>
      </c>
      <c r="AE188" s="2">
        <f>Model_2!N188</f>
        <v>1.2955154529202126</v>
      </c>
      <c r="AF188" s="2">
        <f ca="1">Model_3!N188</f>
        <v>1.3802956926694026</v>
      </c>
      <c r="AG188" s="2">
        <f>Model_4!N188</f>
        <v>1.2921223194956162</v>
      </c>
    </row>
    <row r="189" spans="1:33" x14ac:dyDescent="0.3">
      <c r="A189" s="1">
        <v>187</v>
      </c>
      <c r="B189" s="2">
        <f>Model_1!G189</f>
        <v>7.841233487182464E-5</v>
      </c>
      <c r="C189" s="2">
        <f>Model_2!G189</f>
        <v>0</v>
      </c>
      <c r="D189" s="2">
        <f ca="1">Model_3!G189</f>
        <v>0</v>
      </c>
      <c r="E189" s="2">
        <f>Model_4!G189</f>
        <v>12.64834010662079</v>
      </c>
      <c r="F189" s="2">
        <f>Model_1!H189</f>
        <v>499.99869313116795</v>
      </c>
      <c r="G189" s="2">
        <f>Model_2!H189</f>
        <v>631.69956813357624</v>
      </c>
      <c r="H189" s="2">
        <f ca="1">Model_3!H189</f>
        <v>579.5859570153782</v>
      </c>
      <c r="I189" s="2">
        <f>Model_4!H189</f>
        <v>633.15830132353437</v>
      </c>
      <c r="J189" s="2">
        <f>Model_1!I189</f>
        <v>0</v>
      </c>
      <c r="K189" s="2">
        <f>Model_2!I189</f>
        <v>5.2679827253430487</v>
      </c>
      <c r="L189" s="2">
        <f ca="1">Model_3!I189</f>
        <v>3.183438280615126</v>
      </c>
      <c r="M189" s="2">
        <f>Model_4!I189</f>
        <v>0</v>
      </c>
      <c r="N189" s="2">
        <f>Model_1!J189</f>
        <v>1000</v>
      </c>
      <c r="O189" s="2">
        <f>Model_2!J189</f>
        <v>1000</v>
      </c>
      <c r="P189" s="2">
        <f>Model_3!J189</f>
        <v>1000</v>
      </c>
      <c r="Q189" s="2">
        <f>Model_4!J189</f>
        <v>1600</v>
      </c>
      <c r="R189" s="2">
        <f>Model_1!K189</f>
        <v>2.0000052274889915</v>
      </c>
      <c r="S189" s="2">
        <f>Model_2!K189</f>
        <v>1.5830310015164435</v>
      </c>
      <c r="T189" s="2">
        <f ca="1">Model_3!K189</f>
        <v>1.7253696158367531</v>
      </c>
      <c r="U189" s="2">
        <f>Model_4!K189</f>
        <v>2.5270141711091996</v>
      </c>
      <c r="V189" s="2">
        <f>Model_1!L189</f>
        <v>50</v>
      </c>
      <c r="W189" s="2">
        <f>Model_2!L189</f>
        <v>50</v>
      </c>
      <c r="X189" s="2">
        <f ca="1">Model_3!L189</f>
        <v>50</v>
      </c>
      <c r="Y189" s="2">
        <f>Model_4!L189</f>
        <v>50</v>
      </c>
      <c r="Z189" s="2">
        <f>Model_1!M189</f>
        <v>100.00026137444958</v>
      </c>
      <c r="AA189" s="2">
        <f>Model_2!M189</f>
        <v>79.151550075822172</v>
      </c>
      <c r="AB189" s="2">
        <f ca="1">Model_3!M189</f>
        <v>86.268480791837661</v>
      </c>
      <c r="AC189" s="2">
        <f>Model_4!M189</f>
        <v>126.35070855545997</v>
      </c>
      <c r="AD189" s="2">
        <f>Model_1!N189</f>
        <v>1.0000026137444957</v>
      </c>
      <c r="AE189" s="2">
        <f>Model_2!N189</f>
        <v>0.79151550075822175</v>
      </c>
      <c r="AF189" s="2">
        <f ca="1">Model_3!N189</f>
        <v>0.86268480791837665</v>
      </c>
      <c r="AG189" s="2">
        <f>Model_4!N189</f>
        <v>1.2635070855545998</v>
      </c>
    </row>
    <row r="190" spans="1:33" x14ac:dyDescent="0.3">
      <c r="A190" s="1">
        <v>188</v>
      </c>
      <c r="B190" s="2">
        <f>Model_1!G190</f>
        <v>7.3707570920067411E-5</v>
      </c>
      <c r="C190" s="2">
        <f>Model_2!G190</f>
        <v>0</v>
      </c>
      <c r="D190" s="2">
        <f ca="1">Model_3!G190</f>
        <v>11.7594782029105</v>
      </c>
      <c r="E190" s="2">
        <f>Model_4!G190</f>
        <v>11.460521983735298</v>
      </c>
      <c r="F190" s="2">
        <f>Model_1!H190</f>
        <v>499.99877154350281</v>
      </c>
      <c r="G190" s="2">
        <f>Model_2!H190</f>
        <v>626.43158540823322</v>
      </c>
      <c r="H190" s="2">
        <f ca="1">Model_3!H190</f>
        <v>576.40251873476302</v>
      </c>
      <c r="I190" s="2">
        <f>Model_4!H190</f>
        <v>645.8066414301552</v>
      </c>
      <c r="J190" s="2">
        <f>Model_1!I190</f>
        <v>0</v>
      </c>
      <c r="K190" s="2">
        <f>Model_2!I190</f>
        <v>5.0572634163293246</v>
      </c>
      <c r="L190" s="2">
        <f ca="1">Model_3!I190</f>
        <v>3.0561007493905206</v>
      </c>
      <c r="M190" s="2">
        <f>Model_4!I190</f>
        <v>0</v>
      </c>
      <c r="N190" s="2">
        <f>Model_1!J190</f>
        <v>1000</v>
      </c>
      <c r="O190" s="2">
        <f>Model_2!J190</f>
        <v>1000</v>
      </c>
      <c r="P190" s="2">
        <f>Model_3!J190</f>
        <v>1000</v>
      </c>
      <c r="Q190" s="2">
        <f>Model_4!J190</f>
        <v>1600</v>
      </c>
      <c r="R190" s="2">
        <f>Model_1!K190</f>
        <v>2.0000049138380618</v>
      </c>
      <c r="S190" s="2">
        <f>Model_2!K190</f>
        <v>1.5963435166640256</v>
      </c>
      <c r="T190" s="2">
        <f ca="1">Model_3!K190</f>
        <v>1.7348987339525477</v>
      </c>
      <c r="U190" s="2">
        <f>Model_4!K190</f>
        <v>2.4775217493223041</v>
      </c>
      <c r="V190" s="2">
        <f>Model_1!L190</f>
        <v>49.999999999999993</v>
      </c>
      <c r="W190" s="2">
        <f>Model_2!L190</f>
        <v>50.000000000000014</v>
      </c>
      <c r="X190" s="2">
        <f ca="1">Model_3!L190</f>
        <v>50</v>
      </c>
      <c r="Y190" s="2">
        <f>Model_4!L190</f>
        <v>50</v>
      </c>
      <c r="Z190" s="2">
        <f>Model_1!M190</f>
        <v>100.00024569190307</v>
      </c>
      <c r="AA190" s="2">
        <f>Model_2!M190</f>
        <v>79.817175833201304</v>
      </c>
      <c r="AB190" s="2">
        <f ca="1">Model_3!M190</f>
        <v>86.744936697627381</v>
      </c>
      <c r="AC190" s="2">
        <f>Model_4!M190</f>
        <v>123.87608746611521</v>
      </c>
      <c r="AD190" s="2">
        <f>Model_1!N190</f>
        <v>1.0000024569190307</v>
      </c>
      <c r="AE190" s="2">
        <f>Model_2!N190</f>
        <v>0.79817175833201304</v>
      </c>
      <c r="AF190" s="2">
        <f ca="1">Model_3!N190</f>
        <v>0.86744936697627384</v>
      </c>
      <c r="AG190" s="2">
        <f>Model_4!N190</f>
        <v>1.238760874661152</v>
      </c>
    </row>
    <row r="191" spans="1:33" x14ac:dyDescent="0.3">
      <c r="A191" s="1">
        <v>189</v>
      </c>
      <c r="B191" s="2">
        <f>Model_1!G191</f>
        <v>6.928509558745688E-5</v>
      </c>
      <c r="C191" s="2">
        <f>Model_2!G191</f>
        <v>13.798498330126254</v>
      </c>
      <c r="D191" s="2">
        <f ca="1">Model_3!G191</f>
        <v>0</v>
      </c>
      <c r="E191" s="2">
        <f>Model_4!G191</f>
        <v>10.423731075424158</v>
      </c>
      <c r="F191" s="2">
        <f>Model_1!H191</f>
        <v>499.99884525107376</v>
      </c>
      <c r="G191" s="2">
        <f>Model_2!H191</f>
        <v>621.37432199190391</v>
      </c>
      <c r="H191" s="2">
        <f ca="1">Model_3!H191</f>
        <v>585.10589618828305</v>
      </c>
      <c r="I191" s="2">
        <f>Model_4!H191</f>
        <v>657.26716341389044</v>
      </c>
      <c r="J191" s="2">
        <f>Model_1!I191</f>
        <v>0</v>
      </c>
      <c r="K191" s="2">
        <f>Model_2!I191</f>
        <v>0</v>
      </c>
      <c r="L191" s="2">
        <f ca="1">Model_3!I191</f>
        <v>0</v>
      </c>
      <c r="M191" s="2">
        <f>Model_4!I191</f>
        <v>0</v>
      </c>
      <c r="N191" s="2">
        <f>Model_1!J191</f>
        <v>1000</v>
      </c>
      <c r="O191" s="2">
        <f>Model_2!J191</f>
        <v>1600</v>
      </c>
      <c r="P191" s="2">
        <f>Model_3!J191</f>
        <v>1600</v>
      </c>
      <c r="Q191" s="2">
        <f>Model_4!J191</f>
        <v>1600</v>
      </c>
      <c r="R191" s="2">
        <f>Model_1!K191</f>
        <v>2.0000046190063725</v>
      </c>
      <c r="S191" s="2">
        <f>Model_2!K191</f>
        <v>2.5749374304219268</v>
      </c>
      <c r="T191" s="2">
        <f ca="1">Model_3!K191</f>
        <v>2.7345477296047123</v>
      </c>
      <c r="U191" s="2">
        <f>Model_4!K191</f>
        <v>2.4343221281426732</v>
      </c>
      <c r="V191" s="2">
        <f>Model_1!L191</f>
        <v>50</v>
      </c>
      <c r="W191" s="2">
        <f>Model_2!L191</f>
        <v>50</v>
      </c>
      <c r="X191" s="2">
        <f ca="1">Model_3!L191</f>
        <v>50</v>
      </c>
      <c r="Y191" s="2">
        <f>Model_4!L191</f>
        <v>50</v>
      </c>
      <c r="Z191" s="2">
        <f>Model_1!M191</f>
        <v>100.00023095031862</v>
      </c>
      <c r="AA191" s="2">
        <f>Model_2!M191</f>
        <v>128.74687152109635</v>
      </c>
      <c r="AB191" s="2">
        <f ca="1">Model_3!M191</f>
        <v>136.72738648023562</v>
      </c>
      <c r="AC191" s="2">
        <f>Model_4!M191</f>
        <v>121.71610640713367</v>
      </c>
      <c r="AD191" s="2">
        <f>Model_1!N191</f>
        <v>1.0000023095031862</v>
      </c>
      <c r="AE191" s="2">
        <f>Model_2!N191</f>
        <v>1.2874687152109636</v>
      </c>
      <c r="AF191" s="2">
        <f ca="1">Model_3!N191</f>
        <v>1.3672738648023561</v>
      </c>
      <c r="AG191" s="2">
        <f>Model_4!N191</f>
        <v>1.2171610640713366</v>
      </c>
    </row>
    <row r="192" spans="1:33" x14ac:dyDescent="0.3">
      <c r="A192" s="1">
        <v>190</v>
      </c>
      <c r="B192" s="2">
        <f>Model_1!G192</f>
        <v>6.5127971222711523E-5</v>
      </c>
      <c r="C192" s="2">
        <f>Model_2!G192</f>
        <v>0</v>
      </c>
      <c r="D192" s="2">
        <f ca="1">Model_3!G192</f>
        <v>0</v>
      </c>
      <c r="E192" s="2">
        <f>Model_4!G192</f>
        <v>9.5116424634940593</v>
      </c>
      <c r="F192" s="2">
        <f>Model_1!H192</f>
        <v>499.99891453616937</v>
      </c>
      <c r="G192" s="2">
        <f>Model_2!H192</f>
        <v>635.17282032203013</v>
      </c>
      <c r="H192" s="2">
        <f ca="1">Model_3!H192</f>
        <v>585.10589618828305</v>
      </c>
      <c r="I192" s="2">
        <f>Model_4!H192</f>
        <v>667.69089448931459</v>
      </c>
      <c r="J192" s="2">
        <f>Model_1!I192</f>
        <v>0</v>
      </c>
      <c r="K192" s="2">
        <f>Model_2!I192</f>
        <v>5.4069128128812043</v>
      </c>
      <c r="L192" s="2">
        <f ca="1">Model_3!I192</f>
        <v>3.4042358475313215</v>
      </c>
      <c r="M192" s="2">
        <f>Model_4!I192</f>
        <v>0</v>
      </c>
      <c r="N192" s="2">
        <f>Model_1!J192</f>
        <v>1000</v>
      </c>
      <c r="O192" s="2">
        <f>Model_2!J192</f>
        <v>1000</v>
      </c>
      <c r="P192" s="2">
        <f>Model_3!J192</f>
        <v>1000</v>
      </c>
      <c r="Q192" s="2">
        <f>Model_4!J192</f>
        <v>1600</v>
      </c>
      <c r="R192" s="2">
        <f>Model_1!K192</f>
        <v>2.0000043418647486</v>
      </c>
      <c r="S192" s="2">
        <f>Model_2!K192</f>
        <v>1.5743746709643589</v>
      </c>
      <c r="T192" s="2">
        <f ca="1">Model_3!K192</f>
        <v>1.7090923310029453</v>
      </c>
      <c r="U192" s="2">
        <f>Model_4!K192</f>
        <v>2.3963184359789196</v>
      </c>
      <c r="V192" s="2">
        <f>Model_1!L192</f>
        <v>49.999999999999993</v>
      </c>
      <c r="W192" s="2">
        <f>Model_2!L192</f>
        <v>50</v>
      </c>
      <c r="X192" s="2">
        <f ca="1">Model_3!L192</f>
        <v>50</v>
      </c>
      <c r="Y192" s="2">
        <f>Model_4!L192</f>
        <v>49.999999999999993</v>
      </c>
      <c r="Z192" s="2">
        <f>Model_1!M192</f>
        <v>100.00021709323741</v>
      </c>
      <c r="AA192" s="2">
        <f>Model_2!M192</f>
        <v>78.718733548217941</v>
      </c>
      <c r="AB192" s="2">
        <f ca="1">Model_3!M192</f>
        <v>85.454616550147264</v>
      </c>
      <c r="AC192" s="2">
        <f>Model_4!M192</f>
        <v>119.81592179894596</v>
      </c>
      <c r="AD192" s="2">
        <f>Model_1!N192</f>
        <v>1.0000021709323741</v>
      </c>
      <c r="AE192" s="2">
        <f>Model_2!N192</f>
        <v>0.78718733548217945</v>
      </c>
      <c r="AF192" s="2">
        <f ca="1">Model_3!N192</f>
        <v>0.85454616550147267</v>
      </c>
      <c r="AG192" s="2">
        <f>Model_4!N192</f>
        <v>1.1981592179894596</v>
      </c>
    </row>
    <row r="193" spans="1:33" x14ac:dyDescent="0.3">
      <c r="A193" s="1">
        <v>191</v>
      </c>
      <c r="B193" s="2">
        <f>Model_1!G193</f>
        <v>6.1220276501572357E-5</v>
      </c>
      <c r="C193" s="2">
        <f>Model_2!G193</f>
        <v>0</v>
      </c>
      <c r="D193" s="2">
        <f ca="1">Model_3!G193</f>
        <v>11.408870780082076</v>
      </c>
      <c r="E193" s="2">
        <f>Model_4!G193</f>
        <v>0</v>
      </c>
      <c r="F193" s="2">
        <f>Model_1!H193</f>
        <v>499.99897966414056</v>
      </c>
      <c r="G193" s="2">
        <f>Model_2!H193</f>
        <v>629.76590750914897</v>
      </c>
      <c r="H193" s="2">
        <f ca="1">Model_3!H193</f>
        <v>581.70166034075169</v>
      </c>
      <c r="I193" s="2">
        <f>Model_4!H193</f>
        <v>677.2025369528086</v>
      </c>
      <c r="J193" s="2">
        <f>Model_1!I193</f>
        <v>0</v>
      </c>
      <c r="K193" s="2">
        <f>Model_2!I193</f>
        <v>5.190636300365961</v>
      </c>
      <c r="L193" s="2">
        <f ca="1">Model_3!I193</f>
        <v>3.2680664136300672</v>
      </c>
      <c r="M193" s="2">
        <f>Model_4!I193</f>
        <v>19.088101478112343</v>
      </c>
      <c r="N193" s="2">
        <f>Model_1!J193</f>
        <v>1000</v>
      </c>
      <c r="O193" s="2">
        <f>Model_2!J193</f>
        <v>1000</v>
      </c>
      <c r="P193" s="2">
        <f>Model_3!J193</f>
        <v>1000</v>
      </c>
      <c r="Q193" s="2">
        <f>Model_4!J193</f>
        <v>400</v>
      </c>
      <c r="R193" s="2">
        <f>Model_1!K193</f>
        <v>2.0000040813517663</v>
      </c>
      <c r="S193" s="2">
        <f>Model_2!K193</f>
        <v>1.5878916087331585</v>
      </c>
      <c r="T193" s="2">
        <f ca="1">Model_3!K193</f>
        <v>1.7190942852289879</v>
      </c>
      <c r="U193" s="2">
        <f>Model_4!K193</f>
        <v>0.59066524145032007</v>
      </c>
      <c r="V193" s="2">
        <f>Model_1!L193</f>
        <v>50.000000000000014</v>
      </c>
      <c r="W193" s="2">
        <f>Model_2!L193</f>
        <v>49.999999999999993</v>
      </c>
      <c r="X193" s="2">
        <f ca="1">Model_3!L193</f>
        <v>50</v>
      </c>
      <c r="Y193" s="2">
        <f>Model_4!L193</f>
        <v>50</v>
      </c>
      <c r="Z193" s="2">
        <f>Model_1!M193</f>
        <v>100.00020406758834</v>
      </c>
      <c r="AA193" s="2">
        <f>Model_2!M193</f>
        <v>79.394580436657918</v>
      </c>
      <c r="AB193" s="2">
        <f ca="1">Model_3!M193</f>
        <v>85.954714261449396</v>
      </c>
      <c r="AC193" s="2">
        <f>Model_4!M193</f>
        <v>29.533262072516003</v>
      </c>
      <c r="AD193" s="2">
        <f>Model_1!N193</f>
        <v>1.0000020406758834</v>
      </c>
      <c r="AE193" s="2">
        <f>Model_2!N193</f>
        <v>0.79394580436657913</v>
      </c>
      <c r="AF193" s="2">
        <f ca="1">Model_3!N193</f>
        <v>0.85954714261449394</v>
      </c>
      <c r="AG193" s="2">
        <f>Model_4!N193</f>
        <v>0.29533262072516003</v>
      </c>
    </row>
    <row r="194" spans="1:33" x14ac:dyDescent="0.3">
      <c r="A194" s="1">
        <v>192</v>
      </c>
      <c r="B194" s="2">
        <f>Model_1!G194</f>
        <v>5.7547045368977479E-5</v>
      </c>
      <c r="C194" s="2">
        <f>Model_2!G194</f>
        <v>13.481780931995377</v>
      </c>
      <c r="D194" s="2">
        <f ca="1">Model_3!G194</f>
        <v>0</v>
      </c>
      <c r="E194" s="2">
        <f>Model_4!G194</f>
        <v>0</v>
      </c>
      <c r="F194" s="2">
        <f>Model_1!H194</f>
        <v>499.99904088441707</v>
      </c>
      <c r="G194" s="2">
        <f>Model_2!H194</f>
        <v>624.57527120878297</v>
      </c>
      <c r="H194" s="2">
        <f ca="1">Model_3!H194</f>
        <v>589.8424647072037</v>
      </c>
      <c r="I194" s="2">
        <f>Model_4!H194</f>
        <v>658.11443547469628</v>
      </c>
      <c r="J194" s="2">
        <f>Model_1!I194</f>
        <v>0</v>
      </c>
      <c r="K194" s="2">
        <f>Model_2!I194</f>
        <v>0</v>
      </c>
      <c r="L194" s="2">
        <f ca="1">Model_3!I194</f>
        <v>0</v>
      </c>
      <c r="M194" s="2">
        <f>Model_4!I194</f>
        <v>18.32457741898785</v>
      </c>
      <c r="N194" s="2">
        <f>Model_1!J194</f>
        <v>1000</v>
      </c>
      <c r="O194" s="2">
        <f>Model_2!J194</f>
        <v>1600</v>
      </c>
      <c r="P194" s="2">
        <f>Model_3!J194</f>
        <v>1600</v>
      </c>
      <c r="Q194" s="2">
        <f>Model_4!J194</f>
        <v>400</v>
      </c>
      <c r="R194" s="2">
        <f>Model_1!K194</f>
        <v>2.0000038364696908</v>
      </c>
      <c r="S194" s="2">
        <f>Model_2!K194</f>
        <v>2.5617408721664745</v>
      </c>
      <c r="T194" s="2">
        <f ca="1">Model_3!K194</f>
        <v>2.7125886922947062</v>
      </c>
      <c r="U194" s="2">
        <f>Model_4!K194</f>
        <v>0.60779703109153205</v>
      </c>
      <c r="V194" s="2">
        <f>Model_1!L194</f>
        <v>50.000000000000014</v>
      </c>
      <c r="W194" s="2">
        <f>Model_2!L194</f>
        <v>50</v>
      </c>
      <c r="X194" s="2">
        <f ca="1">Model_3!L194</f>
        <v>50</v>
      </c>
      <c r="Y194" s="2">
        <f>Model_4!L194</f>
        <v>49.999999999999993</v>
      </c>
      <c r="Z194" s="2">
        <f>Model_1!M194</f>
        <v>100.00019182348457</v>
      </c>
      <c r="AA194" s="2">
        <f>Model_2!M194</f>
        <v>128.08704360832371</v>
      </c>
      <c r="AB194" s="2">
        <f ca="1">Model_3!M194</f>
        <v>135.62943461473532</v>
      </c>
      <c r="AC194" s="2">
        <f>Model_4!M194</f>
        <v>30.389851554576598</v>
      </c>
      <c r="AD194" s="2">
        <f>Model_1!N194</f>
        <v>1.0000019182348456</v>
      </c>
      <c r="AE194" s="2">
        <f>Model_2!N194</f>
        <v>1.280870436083237</v>
      </c>
      <c r="AF194" s="2">
        <f ca="1">Model_3!N194</f>
        <v>1.3562943461473531</v>
      </c>
      <c r="AG194" s="2">
        <f>Model_4!N194</f>
        <v>0.30389851554576597</v>
      </c>
    </row>
    <row r="195" spans="1:33" x14ac:dyDescent="0.3">
      <c r="A195" s="1">
        <v>193</v>
      </c>
      <c r="B195" s="2">
        <f>Model_1!G195</f>
        <v>5.4094209798183357E-5</v>
      </c>
      <c r="C195" s="2">
        <f>Model_2!G195</f>
        <v>0</v>
      </c>
      <c r="D195" s="2">
        <f ca="1">Model_3!G195</f>
        <v>0</v>
      </c>
      <c r="E195" s="2">
        <f>Model_4!G195</f>
        <v>0</v>
      </c>
      <c r="F195" s="2">
        <f>Model_1!H195</f>
        <v>499.99909843146241</v>
      </c>
      <c r="G195" s="2">
        <f>Model_2!H195</f>
        <v>638.0570521407783</v>
      </c>
      <c r="H195" s="2">
        <f ca="1">Model_3!H195</f>
        <v>589.8424647072037</v>
      </c>
      <c r="I195" s="2">
        <f>Model_4!H195</f>
        <v>639.78985805570846</v>
      </c>
      <c r="J195" s="2">
        <f>Model_1!I195</f>
        <v>0</v>
      </c>
      <c r="K195" s="2">
        <f>Model_2!I195</f>
        <v>5.5222820856311277</v>
      </c>
      <c r="L195" s="2">
        <f ca="1">Model_3!I195</f>
        <v>3.5936985882881483</v>
      </c>
      <c r="M195" s="2">
        <f>Model_4!I195</f>
        <v>17.591594322228342</v>
      </c>
      <c r="N195" s="2">
        <f>Model_1!J195</f>
        <v>1000</v>
      </c>
      <c r="O195" s="2">
        <f>Model_2!J195</f>
        <v>1000</v>
      </c>
      <c r="P195" s="2">
        <f>Model_3!J195</f>
        <v>1000</v>
      </c>
      <c r="Q195" s="2">
        <f>Model_4!J195</f>
        <v>400</v>
      </c>
      <c r="R195" s="2">
        <f>Model_1!K195</f>
        <v>2.0000036062806528</v>
      </c>
      <c r="S195" s="2">
        <f>Model_2!K195</f>
        <v>1.5672579695574997</v>
      </c>
      <c r="T195" s="2">
        <f ca="1">Model_3!K195</f>
        <v>1.6953679326841913</v>
      </c>
      <c r="U195" s="2">
        <f>Model_4!K195</f>
        <v>0.62520528414686249</v>
      </c>
      <c r="V195" s="2">
        <f>Model_1!L195</f>
        <v>50.000000000000014</v>
      </c>
      <c r="W195" s="2">
        <f>Model_2!L195</f>
        <v>50.000000000000014</v>
      </c>
      <c r="X195" s="2">
        <f ca="1">Model_3!L195</f>
        <v>50</v>
      </c>
      <c r="Y195" s="2">
        <f>Model_4!L195</f>
        <v>49.999999999999993</v>
      </c>
      <c r="Z195" s="2">
        <f>Model_1!M195</f>
        <v>100.00018031403266</v>
      </c>
      <c r="AA195" s="2">
        <f>Model_2!M195</f>
        <v>78.362898477875007</v>
      </c>
      <c r="AB195" s="2">
        <f ca="1">Model_3!M195</f>
        <v>84.768396634209566</v>
      </c>
      <c r="AC195" s="2">
        <f>Model_4!M195</f>
        <v>31.26026420734312</v>
      </c>
      <c r="AD195" s="2">
        <f>Model_1!N195</f>
        <v>1.0000018031403266</v>
      </c>
      <c r="AE195" s="2">
        <f>Model_2!N195</f>
        <v>0.78362898477875009</v>
      </c>
      <c r="AF195" s="2">
        <f ca="1">Model_3!N195</f>
        <v>0.84768396634209564</v>
      </c>
      <c r="AG195" s="2">
        <f>Model_4!N195</f>
        <v>0.31260264207343119</v>
      </c>
    </row>
    <row r="196" spans="1:33" x14ac:dyDescent="0.3">
      <c r="A196" s="1">
        <v>194</v>
      </c>
      <c r="B196" s="2">
        <f>Model_1!G196</f>
        <v>5.0848545847248516E-5</v>
      </c>
      <c r="C196" s="2">
        <f>Model_2!G196</f>
        <v>0</v>
      </c>
      <c r="D196" s="2">
        <f ca="1">Model_3!G196</f>
        <v>11.018215944070684</v>
      </c>
      <c r="E196" s="2">
        <f>Model_4!G196</f>
        <v>0</v>
      </c>
      <c r="F196" s="2">
        <f>Model_1!H196</f>
        <v>499.99915252567223</v>
      </c>
      <c r="G196" s="2">
        <f>Model_2!H196</f>
        <v>632.53477005514719</v>
      </c>
      <c r="H196" s="2">
        <f ca="1">Model_3!H196</f>
        <v>586.24876611891557</v>
      </c>
      <c r="I196" s="2">
        <f>Model_4!H196</f>
        <v>622.19826373348008</v>
      </c>
      <c r="J196" s="2">
        <f>Model_1!I196</f>
        <v>0</v>
      </c>
      <c r="K196" s="2">
        <f>Model_2!I196</f>
        <v>5.3013908022058835</v>
      </c>
      <c r="L196" s="2">
        <f ca="1">Model_3!I196</f>
        <v>3.4499506447566186</v>
      </c>
      <c r="M196" s="2">
        <f>Model_4!I196</f>
        <v>16.887930549339199</v>
      </c>
      <c r="N196" s="2">
        <f>Model_1!J196</f>
        <v>1000</v>
      </c>
      <c r="O196" s="2">
        <f>Model_2!J196</f>
        <v>1000</v>
      </c>
      <c r="P196" s="2">
        <f>Model_3!J196</f>
        <v>1000</v>
      </c>
      <c r="Q196" s="2">
        <f>Model_4!J196</f>
        <v>400</v>
      </c>
      <c r="R196" s="2">
        <f>Model_1!K196</f>
        <v>2.0000033899030569</v>
      </c>
      <c r="S196" s="2">
        <f>Model_2!K196</f>
        <v>1.580940759846001</v>
      </c>
      <c r="T196" s="2">
        <f ca="1">Model_3!K196</f>
        <v>1.7057605197537566</v>
      </c>
      <c r="U196" s="2">
        <f>Model_4!K196</f>
        <v>0.64288189684074859</v>
      </c>
      <c r="V196" s="2">
        <f>Model_1!L196</f>
        <v>49.999999999999993</v>
      </c>
      <c r="W196" s="2">
        <f>Model_2!L196</f>
        <v>50.000000000000014</v>
      </c>
      <c r="X196" s="2">
        <f ca="1">Model_3!L196</f>
        <v>50.000000000000014</v>
      </c>
      <c r="Y196" s="2">
        <f>Model_4!L196</f>
        <v>50</v>
      </c>
      <c r="Z196" s="2">
        <f>Model_1!M196</f>
        <v>100.00016949515283</v>
      </c>
      <c r="AA196" s="2">
        <f>Model_2!M196</f>
        <v>79.047037992300076</v>
      </c>
      <c r="AB196" s="2">
        <f ca="1">Model_3!M196</f>
        <v>85.28802598768786</v>
      </c>
      <c r="AC196" s="2">
        <f>Model_4!M196</f>
        <v>32.144094842037433</v>
      </c>
      <c r="AD196" s="2">
        <f>Model_1!N196</f>
        <v>1.0000016949515282</v>
      </c>
      <c r="AE196" s="2">
        <f>Model_2!N196</f>
        <v>0.79047037992300073</v>
      </c>
      <c r="AF196" s="2">
        <f ca="1">Model_3!N196</f>
        <v>0.85288025987687854</v>
      </c>
      <c r="AG196" s="2">
        <f>Model_4!N196</f>
        <v>0.32144094842037435</v>
      </c>
    </row>
    <row r="197" spans="1:33" x14ac:dyDescent="0.3">
      <c r="A197" s="1">
        <v>195</v>
      </c>
      <c r="B197" s="2">
        <f>Model_1!G197</f>
        <v>4.7797623066170303E-5</v>
      </c>
      <c r="C197" s="2">
        <f>Model_2!G197</f>
        <v>13.221231634285555</v>
      </c>
      <c r="D197" s="2">
        <f ca="1">Model_3!G197</f>
        <v>0</v>
      </c>
      <c r="E197" s="2">
        <f>Model_4!G197</f>
        <v>0</v>
      </c>
      <c r="F197" s="2">
        <f>Model_1!H197</f>
        <v>499.9992033742181</v>
      </c>
      <c r="G197" s="2">
        <f>Model_2!H197</f>
        <v>627.23337925294129</v>
      </c>
      <c r="H197" s="2">
        <f ca="1">Model_3!H197</f>
        <v>593.81703141822959</v>
      </c>
      <c r="I197" s="2">
        <f>Model_4!H197</f>
        <v>605.31033318414086</v>
      </c>
      <c r="J197" s="2">
        <f>Model_1!I197</f>
        <v>0</v>
      </c>
      <c r="K197" s="2">
        <f>Model_2!I197</f>
        <v>0</v>
      </c>
      <c r="L197" s="2">
        <f ca="1">Model_3!I197</f>
        <v>0</v>
      </c>
      <c r="M197" s="2">
        <f>Model_4!I197</f>
        <v>16.212413327365635</v>
      </c>
      <c r="N197" s="2">
        <f>Model_1!J197</f>
        <v>1000</v>
      </c>
      <c r="O197" s="2">
        <f>Model_2!J197</f>
        <v>1600</v>
      </c>
      <c r="P197" s="2">
        <f>Model_3!J197</f>
        <v>1600</v>
      </c>
      <c r="Q197" s="2">
        <f>Model_4!J197</f>
        <v>400</v>
      </c>
      <c r="R197" s="2">
        <f>Model_1!K197</f>
        <v>2.0000031865082044</v>
      </c>
      <c r="S197" s="2">
        <f>Model_2!K197</f>
        <v>2.5508846514285648</v>
      </c>
      <c r="T197" s="2">
        <f ca="1">Model_3!K197</f>
        <v>2.6944326540764179</v>
      </c>
      <c r="U197" s="2">
        <f>Model_4!K197</f>
        <v>0.66081805987990028</v>
      </c>
      <c r="V197" s="2">
        <f>Model_1!L197</f>
        <v>50</v>
      </c>
      <c r="W197" s="2">
        <f>Model_2!L197</f>
        <v>50</v>
      </c>
      <c r="X197" s="2">
        <f ca="1">Model_3!L197</f>
        <v>50</v>
      </c>
      <c r="Y197" s="2">
        <f>Model_4!L197</f>
        <v>50</v>
      </c>
      <c r="Z197" s="2">
        <f>Model_1!M197</f>
        <v>100.00015932541022</v>
      </c>
      <c r="AA197" s="2">
        <f>Model_2!M197</f>
        <v>127.54423257142824</v>
      </c>
      <c r="AB197" s="2">
        <f ca="1">Model_3!M197</f>
        <v>134.72163270382089</v>
      </c>
      <c r="AC197" s="2">
        <f>Model_4!M197</f>
        <v>33.040902993995012</v>
      </c>
      <c r="AD197" s="2">
        <f>Model_1!N197</f>
        <v>1.0000015932541022</v>
      </c>
      <c r="AE197" s="2">
        <f>Model_2!N197</f>
        <v>1.2754423257142824</v>
      </c>
      <c r="AF197" s="2">
        <f ca="1">Model_3!N197</f>
        <v>1.3472163270382089</v>
      </c>
      <c r="AG197" s="2">
        <f>Model_4!N197</f>
        <v>0.33040902993995014</v>
      </c>
    </row>
    <row r="198" spans="1:33" x14ac:dyDescent="0.3">
      <c r="A198" s="1">
        <v>196</v>
      </c>
      <c r="B198" s="2">
        <f>Model_1!G198</f>
        <v>4.4929756821687761E-5</v>
      </c>
      <c r="C198" s="2">
        <f>Model_2!G198</f>
        <v>0</v>
      </c>
      <c r="D198" s="2">
        <f ca="1">Model_3!G198</f>
        <v>0</v>
      </c>
      <c r="E198" s="2">
        <f>Model_4!G198</f>
        <v>0</v>
      </c>
      <c r="F198" s="2">
        <f>Model_1!H198</f>
        <v>499.99925117184114</v>
      </c>
      <c r="G198" s="2">
        <f>Model_2!H198</f>
        <v>640.45461088722686</v>
      </c>
      <c r="H198" s="2">
        <f ca="1">Model_3!H198</f>
        <v>593.81703141822959</v>
      </c>
      <c r="I198" s="2">
        <f>Model_4!H198</f>
        <v>589.09791985677521</v>
      </c>
      <c r="J198" s="2">
        <f>Model_1!I198</f>
        <v>0</v>
      </c>
      <c r="K198" s="2">
        <f>Model_2!I198</f>
        <v>17.618184435489074</v>
      </c>
      <c r="L198" s="2">
        <f ca="1">Model_3!I198</f>
        <v>15.752681256729183</v>
      </c>
      <c r="M198" s="2">
        <f>Model_4!I198</f>
        <v>15.563916794271009</v>
      </c>
      <c r="N198" s="2">
        <f>Model_1!J198</f>
        <v>1000</v>
      </c>
      <c r="O198" s="2">
        <f>Model_2!J198</f>
        <v>400</v>
      </c>
      <c r="P198" s="2">
        <f>Model_3!J198</f>
        <v>400</v>
      </c>
      <c r="Q198" s="2">
        <f>Model_4!J198</f>
        <v>400</v>
      </c>
      <c r="R198" s="2">
        <f>Model_1!K198</f>
        <v>2.0000029953171214</v>
      </c>
      <c r="S198" s="2">
        <f>Model_2!K198</f>
        <v>0.62455635918660468</v>
      </c>
      <c r="T198" s="2">
        <f ca="1">Model_3!K198</f>
        <v>0.67360816351910446</v>
      </c>
      <c r="U198" s="2">
        <f>Model_4!K198</f>
        <v>0.67900426485506904</v>
      </c>
      <c r="V198" s="2">
        <f>Model_1!L198</f>
        <v>50</v>
      </c>
      <c r="W198" s="2">
        <f>Model_2!L198</f>
        <v>50</v>
      </c>
      <c r="X198" s="2">
        <f ca="1">Model_3!L198</f>
        <v>50</v>
      </c>
      <c r="Y198" s="2">
        <f>Model_4!L198</f>
        <v>50</v>
      </c>
      <c r="Z198" s="2">
        <f>Model_1!M198</f>
        <v>100.00014976585607</v>
      </c>
      <c r="AA198" s="2">
        <f>Model_2!M198</f>
        <v>31.227817959330235</v>
      </c>
      <c r="AB198" s="2">
        <f ca="1">Model_3!M198</f>
        <v>33.680408175955222</v>
      </c>
      <c r="AC198" s="2">
        <f>Model_4!M198</f>
        <v>33.950213242753449</v>
      </c>
      <c r="AD198" s="2">
        <f>Model_1!N198</f>
        <v>1.0000014976585607</v>
      </c>
      <c r="AE198" s="2">
        <f>Model_2!N198</f>
        <v>0.31227817959330234</v>
      </c>
      <c r="AF198" s="2">
        <f ca="1">Model_3!N198</f>
        <v>0.33680408175955223</v>
      </c>
      <c r="AG198" s="2">
        <f>Model_4!N198</f>
        <v>0.33950213242753446</v>
      </c>
    </row>
    <row r="199" spans="1:33" x14ac:dyDescent="0.3">
      <c r="A199" s="1">
        <v>197</v>
      </c>
      <c r="B199" s="2">
        <f>Model_1!G199</f>
        <v>4.2233963579718647E-5</v>
      </c>
      <c r="C199" s="2">
        <f>Model_2!G199</f>
        <v>0</v>
      </c>
      <c r="D199" s="2">
        <f ca="1">Model_3!G199</f>
        <v>10.688830384420594</v>
      </c>
      <c r="E199" s="2">
        <f>Model_4!G199</f>
        <v>0</v>
      </c>
      <c r="F199" s="2">
        <f>Model_1!H199</f>
        <v>499.99929610159796</v>
      </c>
      <c r="G199" s="2">
        <f>Model_2!H199</f>
        <v>622.83642645173779</v>
      </c>
      <c r="H199" s="2">
        <f ca="1">Model_3!H199</f>
        <v>578.06435016150044</v>
      </c>
      <c r="I199" s="2">
        <f>Model_4!H199</f>
        <v>573.53400306250421</v>
      </c>
      <c r="J199" s="2">
        <f>Model_1!I199</f>
        <v>0</v>
      </c>
      <c r="K199" s="2">
        <f>Model_2!I199</f>
        <v>4.9134570580695085</v>
      </c>
      <c r="L199" s="2">
        <f ca="1">Model_3!I199</f>
        <v>3.1225740064600189</v>
      </c>
      <c r="M199" s="2">
        <f>Model_4!I199</f>
        <v>14.941360122500166</v>
      </c>
      <c r="N199" s="2">
        <f>Model_1!J199</f>
        <v>1000</v>
      </c>
      <c r="O199" s="2">
        <f>Model_2!J199</f>
        <v>1000</v>
      </c>
      <c r="P199" s="2">
        <f>Model_3!J199</f>
        <v>1000</v>
      </c>
      <c r="Q199" s="2">
        <f>Model_4!J199</f>
        <v>400</v>
      </c>
      <c r="R199" s="2">
        <f>Model_1!K199</f>
        <v>2.000002815597572</v>
      </c>
      <c r="S199" s="2">
        <f>Model_2!K199</f>
        <v>1.6055579884704894</v>
      </c>
      <c r="T199" s="2">
        <f ca="1">Model_3!K199</f>
        <v>1.7299112109588122</v>
      </c>
      <c r="U199" s="2">
        <f>Model_4!K199</f>
        <v>0.69743031426927915</v>
      </c>
      <c r="V199" s="2">
        <f>Model_1!L199</f>
        <v>50</v>
      </c>
      <c r="W199" s="2">
        <f>Model_2!L199</f>
        <v>50</v>
      </c>
      <c r="X199" s="2">
        <f ca="1">Model_3!L199</f>
        <v>49.999999999999993</v>
      </c>
      <c r="Y199" s="2">
        <f>Model_4!L199</f>
        <v>50</v>
      </c>
      <c r="Z199" s="2">
        <f>Model_1!M199</f>
        <v>100.00014077987859</v>
      </c>
      <c r="AA199" s="2">
        <f>Model_2!M199</f>
        <v>80.277899423524474</v>
      </c>
      <c r="AB199" s="2">
        <f ca="1">Model_3!M199</f>
        <v>86.495560547940599</v>
      </c>
      <c r="AC199" s="2">
        <f>Model_4!M199</f>
        <v>34.871515713463957</v>
      </c>
      <c r="AD199" s="2">
        <f>Model_1!N199</f>
        <v>1.000001407798786</v>
      </c>
      <c r="AE199" s="2">
        <f>Model_2!N199</f>
        <v>0.80277899423524479</v>
      </c>
      <c r="AF199" s="2">
        <f ca="1">Model_3!N199</f>
        <v>0.86495560547940598</v>
      </c>
      <c r="AG199" s="2">
        <f>Model_4!N199</f>
        <v>0.34871515713463958</v>
      </c>
    </row>
    <row r="200" spans="1:33" x14ac:dyDescent="0.3">
      <c r="A200" s="1">
        <v>198</v>
      </c>
      <c r="B200" s="2">
        <f>Model_1!G200</f>
        <v>3.9699918845670368E-5</v>
      </c>
      <c r="C200" s="2">
        <f>Model_2!G200</f>
        <v>14.143668227254423</v>
      </c>
      <c r="D200" s="2">
        <f ca="1">Model_3!G200</f>
        <v>0</v>
      </c>
      <c r="E200" s="2">
        <f>Model_4!G200</f>
        <v>0</v>
      </c>
      <c r="F200" s="2">
        <f>Model_1!H200</f>
        <v>499.99933833556156</v>
      </c>
      <c r="G200" s="2">
        <f>Model_2!H200</f>
        <v>617.92296939366827</v>
      </c>
      <c r="H200" s="2">
        <f ca="1">Model_3!H200</f>
        <v>585.63060653946104</v>
      </c>
      <c r="I200" s="2">
        <f>Model_4!H200</f>
        <v>558.592642940004</v>
      </c>
      <c r="J200" s="2">
        <f>Model_1!I200</f>
        <v>0</v>
      </c>
      <c r="K200" s="2">
        <f>Model_2!I200</f>
        <v>0</v>
      </c>
      <c r="L200" s="2">
        <f ca="1">Model_3!I200</f>
        <v>0</v>
      </c>
      <c r="M200" s="2">
        <f>Model_4!I200</f>
        <v>14.343705717600159</v>
      </c>
      <c r="N200" s="2">
        <f>Model_1!J200</f>
        <v>1000</v>
      </c>
      <c r="O200" s="2">
        <f>Model_2!J200</f>
        <v>1600</v>
      </c>
      <c r="P200" s="2">
        <f>Model_3!J200</f>
        <v>1600</v>
      </c>
      <c r="Q200" s="2">
        <f>Model_4!J200</f>
        <v>400</v>
      </c>
      <c r="R200" s="2">
        <f>Model_1!K200</f>
        <v>2.0000026466612564</v>
      </c>
      <c r="S200" s="2">
        <f>Model_2!K200</f>
        <v>2.5893195094689334</v>
      </c>
      <c r="T200" s="2">
        <f ca="1">Model_3!K200</f>
        <v>2.7320976433498418</v>
      </c>
      <c r="U200" s="2">
        <f>Model_4!K200</f>
        <v>0.71608533527170404</v>
      </c>
      <c r="V200" s="2">
        <f>Model_1!L200</f>
        <v>49.999999999999993</v>
      </c>
      <c r="W200" s="2">
        <f>Model_2!L200</f>
        <v>50.000000000000014</v>
      </c>
      <c r="X200" s="2">
        <f ca="1">Model_3!L200</f>
        <v>50</v>
      </c>
      <c r="Y200" s="2">
        <f>Model_4!L200</f>
        <v>50</v>
      </c>
      <c r="Z200" s="2">
        <f>Model_1!M200</f>
        <v>100.00013233306281</v>
      </c>
      <c r="AA200" s="2">
        <f>Model_2!M200</f>
        <v>129.46597547344672</v>
      </c>
      <c r="AB200" s="2">
        <f ca="1">Model_3!M200</f>
        <v>136.60488216749209</v>
      </c>
      <c r="AC200" s="2">
        <f>Model_4!M200</f>
        <v>35.804266763585204</v>
      </c>
      <c r="AD200" s="2">
        <f>Model_1!N200</f>
        <v>1.0000013233306282</v>
      </c>
      <c r="AE200" s="2">
        <f>Model_2!N200</f>
        <v>1.2946597547344671</v>
      </c>
      <c r="AF200" s="2">
        <f ca="1">Model_3!N200</f>
        <v>1.3660488216749209</v>
      </c>
      <c r="AG200" s="2">
        <f>Model_4!N200</f>
        <v>0.35804266763585202</v>
      </c>
    </row>
    <row r="201" spans="1:33" x14ac:dyDescent="0.3">
      <c r="A201" s="1">
        <v>199</v>
      </c>
      <c r="B201" s="2">
        <f>Model_1!G201</f>
        <v>3.7317917596091377E-5</v>
      </c>
      <c r="C201" s="2">
        <f>Model_2!G201</f>
        <v>0</v>
      </c>
      <c r="D201" s="2">
        <f ca="1">Model_3!G201</f>
        <v>0</v>
      </c>
      <c r="E201" s="2">
        <f>Model_4!G201</f>
        <v>0</v>
      </c>
      <c r="F201" s="2">
        <f>Model_1!H201</f>
        <v>499.99937803548039</v>
      </c>
      <c r="G201" s="2">
        <f>Model_2!H201</f>
        <v>632.06663762092273</v>
      </c>
      <c r="H201" s="2">
        <f ca="1">Model_3!H201</f>
        <v>585.63060653946104</v>
      </c>
      <c r="I201" s="2">
        <f>Model_4!H201</f>
        <v>544.24893722240381</v>
      </c>
      <c r="J201" s="2">
        <f>Model_1!I201</f>
        <v>0</v>
      </c>
      <c r="K201" s="2">
        <f>Model_2!I201</f>
        <v>5.2826655048369098</v>
      </c>
      <c r="L201" s="2">
        <f ca="1">Model_3!I201</f>
        <v>3.4252242615784438</v>
      </c>
      <c r="M201" s="2">
        <f>Model_4!I201</f>
        <v>13.769957488896152</v>
      </c>
      <c r="N201" s="2">
        <f>Model_1!J201</f>
        <v>1000</v>
      </c>
      <c r="O201" s="2">
        <f>Model_2!J201</f>
        <v>1000</v>
      </c>
      <c r="P201" s="2">
        <f>Model_3!J201</f>
        <v>1000</v>
      </c>
      <c r="Q201" s="2">
        <f>Model_4!J201</f>
        <v>400</v>
      </c>
      <c r="R201" s="2">
        <f>Model_1!K201</f>
        <v>2.0000024878611731</v>
      </c>
      <c r="S201" s="2">
        <f>Model_2!K201</f>
        <v>1.5821116643080007</v>
      </c>
      <c r="T201" s="2">
        <f ca="1">Model_3!K201</f>
        <v>1.7075610270936512</v>
      </c>
      <c r="U201" s="2">
        <f>Model_4!K201</f>
        <v>0.73495779714594567</v>
      </c>
      <c r="V201" s="2">
        <f>Model_1!L201</f>
        <v>50</v>
      </c>
      <c r="W201" s="2">
        <f>Model_2!L201</f>
        <v>50</v>
      </c>
      <c r="X201" s="2">
        <f ca="1">Model_3!L201</f>
        <v>50</v>
      </c>
      <c r="Y201" s="2">
        <f>Model_4!L201</f>
        <v>50</v>
      </c>
      <c r="Z201" s="2">
        <f>Model_1!M201</f>
        <v>100.00012439305866</v>
      </c>
      <c r="AA201" s="2">
        <f>Model_2!M201</f>
        <v>79.105583215400031</v>
      </c>
      <c r="AB201" s="2">
        <f ca="1">Model_3!M201</f>
        <v>85.378051354682555</v>
      </c>
      <c r="AC201" s="2">
        <f>Model_4!M201</f>
        <v>36.747889857297281</v>
      </c>
      <c r="AD201" s="2">
        <f>Model_1!N201</f>
        <v>1.0000012439305865</v>
      </c>
      <c r="AE201" s="2">
        <f>Model_2!N201</f>
        <v>0.79105583215400033</v>
      </c>
      <c r="AF201" s="2">
        <f ca="1">Model_3!N201</f>
        <v>0.85378051354682549</v>
      </c>
      <c r="AG201" s="2">
        <f>Model_4!N201</f>
        <v>0.36747889857297283</v>
      </c>
    </row>
    <row r="202" spans="1:33" x14ac:dyDescent="0.3">
      <c r="A202" s="1">
        <v>200</v>
      </c>
      <c r="B202" s="2">
        <f>Model_1!G202</f>
        <v>3.5078837135049667E-5</v>
      </c>
      <c r="C202" s="2">
        <f>Model_2!G202</f>
        <v>0</v>
      </c>
      <c r="D202" s="2">
        <f ca="1">Model_3!G202</f>
        <v>10.416489811146267</v>
      </c>
      <c r="E202" s="2">
        <f>Model_4!G202</f>
        <v>0</v>
      </c>
      <c r="F202" s="2">
        <f>Model_1!H202</f>
        <v>499.99941535339798</v>
      </c>
      <c r="G202" s="2">
        <f>Model_2!H202</f>
        <v>626.78397211608581</v>
      </c>
      <c r="H202" s="2">
        <f ca="1">Model_3!H202</f>
        <v>582.20538227788256</v>
      </c>
      <c r="I202" s="2">
        <f>Model_4!H202</f>
        <v>530.47897973350769</v>
      </c>
      <c r="J202" s="2">
        <f>Model_1!I202</f>
        <v>0</v>
      </c>
      <c r="K202" s="2">
        <f>Model_2!I202</f>
        <v>5.0713588846434359</v>
      </c>
      <c r="L202" s="2">
        <f ca="1">Model_3!I202</f>
        <v>3.2882152911153035</v>
      </c>
      <c r="M202" s="2">
        <f>Model_4!I202</f>
        <v>13.219159189340308</v>
      </c>
      <c r="N202" s="2">
        <f>Model_1!J202</f>
        <v>1000</v>
      </c>
      <c r="O202" s="2">
        <f>Model_2!J202</f>
        <v>1000</v>
      </c>
      <c r="P202" s="2">
        <f>Model_3!J202</f>
        <v>1000</v>
      </c>
      <c r="Q202" s="2">
        <f>Model_4!J202</f>
        <v>400</v>
      </c>
      <c r="R202" s="2">
        <f>Model_1!K202</f>
        <v>2.0000023385891428</v>
      </c>
      <c r="S202" s="2">
        <f>Model_2!K202</f>
        <v>1.5954460300315263</v>
      </c>
      <c r="T202" s="2">
        <f ca="1">Model_3!K202</f>
        <v>1.7176069312301667</v>
      </c>
      <c r="U202" s="2">
        <f>Model_4!K202</f>
        <v>0.75403553256897127</v>
      </c>
      <c r="V202" s="2">
        <f>Model_1!L202</f>
        <v>49.999999999999993</v>
      </c>
      <c r="W202" s="2">
        <f>Model_2!L202</f>
        <v>50</v>
      </c>
      <c r="X202" s="2">
        <f ca="1">Model_3!L202</f>
        <v>50</v>
      </c>
      <c r="Y202" s="2">
        <f>Model_4!L202</f>
        <v>50</v>
      </c>
      <c r="Z202" s="2">
        <f>Model_1!M202</f>
        <v>100.00011692945712</v>
      </c>
      <c r="AA202" s="2">
        <f>Model_2!M202</f>
        <v>79.772301501576308</v>
      </c>
      <c r="AB202" s="2">
        <f ca="1">Model_3!M202</f>
        <v>85.880346561508333</v>
      </c>
      <c r="AC202" s="2">
        <f>Model_4!M202</f>
        <v>37.701776628448563</v>
      </c>
      <c r="AD202" s="2">
        <f>Model_1!N202</f>
        <v>1.0000011692945712</v>
      </c>
      <c r="AE202" s="2">
        <f>Model_2!N202</f>
        <v>0.79772301501576304</v>
      </c>
      <c r="AF202" s="2">
        <f ca="1">Model_3!N202</f>
        <v>0.85880346561508336</v>
      </c>
      <c r="AG202" s="2">
        <f>Model_4!N202</f>
        <v>0.37701776628448563</v>
      </c>
    </row>
  </sheetData>
  <sheetProtection password="CC01" sheet="1" objects="1" scenarios="1"/>
  <mergeCells count="8">
    <mergeCell ref="AD1:AG1"/>
    <mergeCell ref="Z1:AC1"/>
    <mergeCell ref="B1:E1"/>
    <mergeCell ref="J1:M1"/>
    <mergeCell ref="F1:I1"/>
    <mergeCell ref="V1:Y1"/>
    <mergeCell ref="R1:U1"/>
    <mergeCell ref="N1:Q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Model_1</vt:lpstr>
      <vt:lpstr>Model_2</vt:lpstr>
      <vt:lpstr>Model_3</vt:lpstr>
      <vt:lpstr>Model_4</vt:lpstr>
      <vt:lpstr>Contrast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2026-04-16T18:36:40Z</dcterms:modified>
</cp:coreProperties>
</file>